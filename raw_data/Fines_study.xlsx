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ordob\Documents\GitHub\Fines_Study\raw_data\"/>
    </mc:Choice>
  </mc:AlternateContent>
  <xr:revisionPtr revIDLastSave="0" documentId="13_ncr:1_{8EE2364B-FBA1-432D-8D94-53E7B0CCA0C1}" xr6:coauthVersionLast="47" xr6:coauthVersionMax="47" xr10:uidLastSave="{00000000-0000-0000-0000-000000000000}"/>
  <bookViews>
    <workbookView xWindow="28680" yWindow="-120" windowWidth="29040" windowHeight="15720" activeTab="4" xr2:uid="{6774BC92-58FD-4C69-B304-20496453BFDA}"/>
  </bookViews>
  <sheets>
    <sheet name="Pulping" sheetId="1" r:id="rId1"/>
    <sheet name="Fines_removal" sheetId="2" r:id="rId2"/>
    <sheet name="Handsheets_making" sheetId="3" r:id="rId3"/>
    <sheet name="FQA" sheetId="4" r:id="rId4"/>
    <sheet name="Handsheet_properties" sheetId="5" r:id="rId5"/>
    <sheet name="Freenes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6" l="1"/>
  <c r="G12" i="6"/>
  <c r="G11" i="6"/>
  <c r="G10" i="6"/>
  <c r="G9" i="6"/>
  <c r="G8" i="6"/>
  <c r="G7" i="6"/>
  <c r="G6" i="6"/>
  <c r="G5" i="6"/>
  <c r="G4" i="6"/>
  <c r="G3" i="6"/>
  <c r="G2" i="6"/>
  <c r="N5" i="3"/>
  <c r="M38" i="3"/>
  <c r="M35" i="3"/>
  <c r="M32" i="3"/>
  <c r="M29" i="3"/>
  <c r="M26" i="3"/>
  <c r="M23" i="3"/>
  <c r="M20" i="3"/>
  <c r="M17" i="3"/>
  <c r="M14" i="3"/>
  <c r="M11" i="3"/>
  <c r="M8" i="3"/>
  <c r="M5" i="3"/>
  <c r="M3" i="3"/>
  <c r="J38" i="3"/>
  <c r="J35" i="3"/>
  <c r="J32" i="3"/>
  <c r="J29" i="3"/>
  <c r="J26" i="3"/>
  <c r="J23" i="3"/>
  <c r="J20" i="3"/>
  <c r="J17" i="3"/>
  <c r="J14" i="3"/>
  <c r="J11" i="3"/>
  <c r="J8" i="3"/>
  <c r="J5" i="3"/>
  <c r="C44" i="3"/>
  <c r="C64" i="3"/>
  <c r="C57" i="3"/>
  <c r="U36" i="3"/>
  <c r="U24" i="3"/>
  <c r="O36" i="3"/>
  <c r="O30" i="3"/>
  <c r="S36" i="3"/>
  <c r="S30" i="3"/>
  <c r="U30" i="3" s="1"/>
  <c r="S24" i="3"/>
  <c r="O24" i="3"/>
  <c r="C46" i="3"/>
  <c r="C60" i="3" s="1"/>
  <c r="C59" i="3" s="1"/>
  <c r="C41" i="3"/>
  <c r="L4" i="2"/>
  <c r="S18" i="3"/>
  <c r="U18" i="3"/>
  <c r="O18" i="3"/>
  <c r="S12" i="3"/>
  <c r="U12" i="3" s="1"/>
  <c r="O12" i="3"/>
  <c r="S6" i="3"/>
  <c r="U6" i="3" s="1"/>
  <c r="O6" i="3"/>
  <c r="S33" i="3"/>
  <c r="U33" i="3"/>
  <c r="O33" i="3"/>
  <c r="S27" i="3"/>
  <c r="U27" i="3" s="1"/>
  <c r="O27" i="3"/>
  <c r="S21" i="3"/>
  <c r="U21" i="3" s="1"/>
  <c r="O21" i="3"/>
  <c r="S15" i="3"/>
  <c r="U15" i="3" s="1"/>
  <c r="O15" i="3"/>
  <c r="S13" i="3"/>
  <c r="U9" i="3"/>
  <c r="S9" i="3"/>
  <c r="U3" i="3"/>
  <c r="S3" i="3"/>
  <c r="J3" i="3"/>
  <c r="O3" i="3" s="1"/>
  <c r="L4" i="3"/>
  <c r="L7" i="3"/>
  <c r="L10" i="3"/>
  <c r="L13" i="3"/>
  <c r="L16" i="3"/>
  <c r="L19" i="3"/>
  <c r="L22" i="3"/>
  <c r="L25" i="3"/>
  <c r="L28" i="3"/>
  <c r="L30" i="3"/>
  <c r="L31" i="3"/>
  <c r="L34" i="3"/>
  <c r="L37" i="3"/>
  <c r="L3" i="3"/>
  <c r="J36" i="3"/>
  <c r="J30" i="3"/>
  <c r="L32" i="3" s="1"/>
  <c r="J24" i="3"/>
  <c r="L24" i="3" s="1"/>
  <c r="J15" i="3"/>
  <c r="J12" i="3"/>
  <c r="K36" i="3"/>
  <c r="K35" i="3"/>
  <c r="K33" i="3"/>
  <c r="K30" i="3"/>
  <c r="K32" i="3" s="1"/>
  <c r="K27" i="3"/>
  <c r="K29" i="3" s="1"/>
  <c r="K24" i="3"/>
  <c r="K26" i="3" s="1"/>
  <c r="K21" i="3"/>
  <c r="K23" i="3" s="1"/>
  <c r="K18" i="3"/>
  <c r="K20" i="3" s="1"/>
  <c r="K15" i="3"/>
  <c r="K17" i="3" s="1"/>
  <c r="K12" i="3"/>
  <c r="K14" i="3" s="1"/>
  <c r="K9" i="3"/>
  <c r="K11" i="3" s="1"/>
  <c r="K6" i="3"/>
  <c r="K8" i="3" s="1"/>
  <c r="K3" i="3"/>
  <c r="K5" i="3" s="1"/>
  <c r="H5" i="2"/>
  <c r="D5" i="4"/>
  <c r="F5" i="4" s="1"/>
  <c r="D6" i="4"/>
  <c r="F6" i="4" s="1"/>
  <c r="D7" i="4"/>
  <c r="F7" i="4" s="1"/>
  <c r="H7" i="4" s="1"/>
  <c r="D8" i="4"/>
  <c r="F8" i="4" s="1"/>
  <c r="H8" i="4" s="1"/>
  <c r="D9" i="4"/>
  <c r="F9" i="4" s="1"/>
  <c r="D10" i="4"/>
  <c r="F10" i="4" s="1"/>
  <c r="D11" i="4"/>
  <c r="F11" i="4" s="1"/>
  <c r="D12" i="4"/>
  <c r="F12" i="4" s="1"/>
  <c r="D13" i="4"/>
  <c r="F13" i="4" s="1"/>
  <c r="C4" i="4"/>
  <c r="D4" i="4" s="1"/>
  <c r="F4" i="4" s="1"/>
  <c r="C3" i="4"/>
  <c r="D3" i="4" s="1"/>
  <c r="F3" i="4" s="1"/>
  <c r="C2" i="4"/>
  <c r="D2" i="4" s="1"/>
  <c r="F2" i="4" s="1"/>
  <c r="G3" i="2"/>
  <c r="H4" i="2"/>
  <c r="H6" i="2"/>
  <c r="H7" i="2"/>
  <c r="H8" i="2"/>
  <c r="H3" i="2"/>
  <c r="I6" i="2"/>
  <c r="I5" i="2"/>
  <c r="G36" i="3"/>
  <c r="I36" i="3" s="1"/>
  <c r="G37" i="3"/>
  <c r="I37" i="3"/>
  <c r="G38" i="3"/>
  <c r="I38" i="3" s="1"/>
  <c r="G30" i="3"/>
  <c r="I30" i="3"/>
  <c r="G31" i="3"/>
  <c r="I31" i="3" s="1"/>
  <c r="G32" i="3"/>
  <c r="I32" i="3"/>
  <c r="G24" i="3"/>
  <c r="I24" i="3" s="1"/>
  <c r="G25" i="3"/>
  <c r="I25" i="3" s="1"/>
  <c r="G26" i="3"/>
  <c r="I26" i="3"/>
  <c r="G18" i="3"/>
  <c r="I18" i="3"/>
  <c r="J18" i="3" s="1"/>
  <c r="G19" i="3"/>
  <c r="I19" i="3"/>
  <c r="G20" i="3"/>
  <c r="I20" i="3" s="1"/>
  <c r="G12" i="3"/>
  <c r="I12" i="3" s="1"/>
  <c r="G13" i="3"/>
  <c r="I13" i="3"/>
  <c r="G14" i="3"/>
  <c r="I14" i="3"/>
  <c r="G6" i="3"/>
  <c r="I6" i="3"/>
  <c r="J6" i="3" s="1"/>
  <c r="G7" i="3"/>
  <c r="I7" i="3" s="1"/>
  <c r="G8" i="3"/>
  <c r="I8" i="3"/>
  <c r="G4" i="3"/>
  <c r="I4" i="3" s="1"/>
  <c r="G5" i="3"/>
  <c r="I5" i="3" s="1"/>
  <c r="G9" i="3"/>
  <c r="I9" i="3" s="1"/>
  <c r="J9" i="3" s="1"/>
  <c r="G10" i="3"/>
  <c r="I10" i="3" s="1"/>
  <c r="G11" i="3"/>
  <c r="I11" i="3" s="1"/>
  <c r="G15" i="3"/>
  <c r="I15" i="3" s="1"/>
  <c r="G16" i="3"/>
  <c r="I16" i="3" s="1"/>
  <c r="G17" i="3"/>
  <c r="I17" i="3" s="1"/>
  <c r="G21" i="3"/>
  <c r="I21" i="3" s="1"/>
  <c r="J21" i="3" s="1"/>
  <c r="G22" i="3"/>
  <c r="I22" i="3" s="1"/>
  <c r="G23" i="3"/>
  <c r="I23" i="3" s="1"/>
  <c r="G27" i="3"/>
  <c r="I27" i="3" s="1"/>
  <c r="J27" i="3" s="1"/>
  <c r="G28" i="3"/>
  <c r="I28" i="3" s="1"/>
  <c r="G29" i="3"/>
  <c r="I29" i="3" s="1"/>
  <c r="G33" i="3"/>
  <c r="I33" i="3" s="1"/>
  <c r="J33" i="3" s="1"/>
  <c r="G34" i="3"/>
  <c r="I34" i="3" s="1"/>
  <c r="G35" i="3"/>
  <c r="I35" i="3" s="1"/>
  <c r="G3" i="3"/>
  <c r="I3" i="3" s="1"/>
  <c r="K4" i="2"/>
  <c r="K5" i="2"/>
  <c r="L5" i="2" s="1"/>
  <c r="K6" i="2"/>
  <c r="K7" i="2"/>
  <c r="K8" i="2"/>
  <c r="C8" i="2"/>
  <c r="F8" i="2" s="1"/>
  <c r="C7" i="2"/>
  <c r="F7" i="2" s="1"/>
  <c r="G7" i="2" s="1"/>
  <c r="C6" i="2"/>
  <c r="I4" i="2"/>
  <c r="I3" i="2"/>
  <c r="K3" i="2" s="1"/>
  <c r="L3" i="2" s="1"/>
  <c r="F4" i="2"/>
  <c r="G4" i="2" s="1"/>
  <c r="F5" i="2"/>
  <c r="G5" i="2" s="1"/>
  <c r="F6" i="2"/>
  <c r="G6" i="2" s="1"/>
  <c r="F3" i="2"/>
  <c r="E4" i="2"/>
  <c r="E5" i="2"/>
  <c r="E6" i="2"/>
  <c r="E7" i="2"/>
  <c r="E3" i="2"/>
  <c r="M3" i="1"/>
  <c r="K3" i="1"/>
  <c r="K4" i="1"/>
  <c r="L7" i="1"/>
  <c r="N7" i="1" s="1"/>
  <c r="L6" i="1"/>
  <c r="M6" i="1" s="1"/>
  <c r="L5" i="1"/>
  <c r="N5" i="1" s="1"/>
  <c r="J7" i="1"/>
  <c r="K7" i="1" s="1"/>
  <c r="J6" i="1"/>
  <c r="K6" i="1" s="1"/>
  <c r="J5" i="1"/>
  <c r="K5" i="1" s="1"/>
  <c r="L4" i="1"/>
  <c r="M4" i="1" s="1"/>
  <c r="L3" i="1"/>
  <c r="N3" i="1" s="1"/>
  <c r="L2" i="1"/>
  <c r="M2" i="1" s="1"/>
  <c r="J4" i="1"/>
  <c r="J3" i="1"/>
  <c r="J2" i="1"/>
  <c r="K2" i="1" s="1"/>
  <c r="N2" i="1" l="1"/>
  <c r="N6" i="1"/>
  <c r="N4" i="1"/>
  <c r="M5" i="1"/>
  <c r="H2" i="4"/>
  <c r="J2" i="4"/>
  <c r="H3" i="4"/>
  <c r="J3" i="4"/>
  <c r="J4" i="4"/>
  <c r="H4" i="4"/>
  <c r="L14" i="4"/>
  <c r="H13" i="4"/>
  <c r="H11" i="4"/>
  <c r="J11" i="4"/>
  <c r="J10" i="4"/>
  <c r="H10" i="4"/>
  <c r="J9" i="4"/>
  <c r="H9" i="4"/>
  <c r="J8" i="4"/>
  <c r="J7" i="4"/>
  <c r="J6" i="4"/>
  <c r="H6" i="4"/>
  <c r="J5" i="4"/>
  <c r="H5" i="4"/>
  <c r="H12" i="4"/>
  <c r="J12" i="4"/>
  <c r="J13" i="4"/>
  <c r="L6" i="3"/>
  <c r="L8" i="3"/>
  <c r="L27" i="3"/>
  <c r="L29" i="3"/>
  <c r="O9" i="3"/>
  <c r="L9" i="3"/>
  <c r="L11" i="3"/>
  <c r="L23" i="3"/>
  <c r="L21" i="3"/>
  <c r="L35" i="3"/>
  <c r="L33" i="3"/>
  <c r="L20" i="3"/>
  <c r="L18" i="3"/>
  <c r="L36" i="3"/>
  <c r="L26" i="3"/>
  <c r="L12" i="3"/>
  <c r="L5" i="3"/>
  <c r="L14" i="3"/>
  <c r="L17" i="3"/>
  <c r="L15" i="3"/>
  <c r="K38" i="3"/>
  <c r="L38" i="3" s="1"/>
  <c r="L6" i="2"/>
  <c r="L7" i="2"/>
  <c r="I39" i="3"/>
  <c r="G8" i="2"/>
  <c r="L8" i="2"/>
  <c r="M7" i="1"/>
  <c r="E8" i="2"/>
</calcChain>
</file>

<file path=xl/sharedStrings.xml><?xml version="1.0" encoding="utf-8"?>
<sst xmlns="http://schemas.openxmlformats.org/spreadsheetml/2006/main" count="594" uniqueCount="280">
  <si>
    <t>Biomass</t>
  </si>
  <si>
    <t>Code</t>
  </si>
  <si>
    <t>Pulping</t>
  </si>
  <si>
    <t>pH</t>
  </si>
  <si>
    <t>Temperature</t>
  </si>
  <si>
    <t>Kappa</t>
  </si>
  <si>
    <t>W1</t>
  </si>
  <si>
    <t>Ammonium bisulfite</t>
  </si>
  <si>
    <t>W2</t>
  </si>
  <si>
    <t>W3</t>
  </si>
  <si>
    <t>E1</t>
  </si>
  <si>
    <t>E2</t>
  </si>
  <si>
    <t>E3</t>
  </si>
  <si>
    <t>Whole Pulp</t>
  </si>
  <si>
    <t>Fines Free</t>
  </si>
  <si>
    <t>Total wet weight</t>
  </si>
  <si>
    <t>Consistency</t>
  </si>
  <si>
    <t>Total Dry weight</t>
  </si>
  <si>
    <t>For classifier</t>
  </si>
  <si>
    <t>Per batch</t>
  </si>
  <si>
    <t>Dry weigh for handsheets</t>
  </si>
  <si>
    <t>Wet weight</t>
  </si>
  <si>
    <t>Dry weight</t>
  </si>
  <si>
    <t>Classifcation yield</t>
  </si>
  <si>
    <t>33.51 gr wet more because spill of one batch</t>
  </si>
  <si>
    <t>Sample</t>
  </si>
  <si>
    <t>Treatment 1</t>
  </si>
  <si>
    <t>Treatment 2</t>
  </si>
  <si>
    <t>Basis weight (target)</t>
  </si>
  <si>
    <t>Mass per Handsheet</t>
  </si>
  <si>
    <t>Handsheets per treatment</t>
  </si>
  <si>
    <t>Total mass</t>
  </si>
  <si>
    <t xml:space="preserve">Total </t>
  </si>
  <si>
    <t>To dsisintegrate</t>
  </si>
  <si>
    <t>Final volume</t>
  </si>
  <si>
    <t>Freeness</t>
  </si>
  <si>
    <t>Temp</t>
  </si>
  <si>
    <t>OD mass freeness HS</t>
  </si>
  <si>
    <t>Corrected Freeness</t>
  </si>
  <si>
    <t>Volume for Handsheets</t>
  </si>
  <si>
    <t>Standard</t>
  </si>
  <si>
    <t>Fines</t>
  </si>
  <si>
    <t>Recirculation</t>
  </si>
  <si>
    <t>Additive</t>
  </si>
  <si>
    <t>W1AF</t>
  </si>
  <si>
    <t>No Fines</t>
  </si>
  <si>
    <t>W1SN</t>
  </si>
  <si>
    <t>W1RN</t>
  </si>
  <si>
    <t>W1AN</t>
  </si>
  <si>
    <t>W2SF</t>
  </si>
  <si>
    <t>W2RF</t>
  </si>
  <si>
    <t>W2AF</t>
  </si>
  <si>
    <t>W2SN</t>
  </si>
  <si>
    <t>W2RN</t>
  </si>
  <si>
    <t>W2AN</t>
  </si>
  <si>
    <t>W3SF</t>
  </si>
  <si>
    <t>W3RF</t>
  </si>
  <si>
    <t>W3AF</t>
  </si>
  <si>
    <t>W3SN</t>
  </si>
  <si>
    <t>W3RN</t>
  </si>
  <si>
    <t>W3AN</t>
  </si>
  <si>
    <t>E1SF</t>
  </si>
  <si>
    <t>E1RF</t>
  </si>
  <si>
    <t>E1AF</t>
  </si>
  <si>
    <t>E1SN</t>
  </si>
  <si>
    <t>E1RN</t>
  </si>
  <si>
    <t>E1AN</t>
  </si>
  <si>
    <t>E2SF</t>
  </si>
  <si>
    <t>E2RF</t>
  </si>
  <si>
    <t>E2AF</t>
  </si>
  <si>
    <t>E2SN</t>
  </si>
  <si>
    <t>E2RN</t>
  </si>
  <si>
    <t>E2AN</t>
  </si>
  <si>
    <t>E3SF</t>
  </si>
  <si>
    <t>E3RF</t>
  </si>
  <si>
    <t>E3AF</t>
  </si>
  <si>
    <t>E3SN</t>
  </si>
  <si>
    <t>E3RN</t>
  </si>
  <si>
    <t>E3AN</t>
  </si>
  <si>
    <t>Additive handsheets</t>
  </si>
  <si>
    <t>Mass per sheet</t>
  </si>
  <si>
    <t>g fiber</t>
  </si>
  <si>
    <t>Additive in sln</t>
  </si>
  <si>
    <t>g add</t>
  </si>
  <si>
    <t>Addtive vol</t>
  </si>
  <si>
    <t>g sln</t>
  </si>
  <si>
    <t>Concentration</t>
  </si>
  <si>
    <t>g add/g sln</t>
  </si>
  <si>
    <t>Target addtive</t>
  </si>
  <si>
    <t>g add/g fiber</t>
  </si>
  <si>
    <t>Sln per handsheet</t>
  </si>
  <si>
    <t>g sln per handsheet</t>
  </si>
  <si>
    <t>vol</t>
  </si>
  <si>
    <t>mass</t>
  </si>
  <si>
    <t>m</t>
  </si>
  <si>
    <t>b</t>
  </si>
  <si>
    <t xml:space="preserve">vol </t>
  </si>
  <si>
    <t>g/L</t>
  </si>
  <si>
    <t>g</t>
  </si>
  <si>
    <t>L</t>
  </si>
  <si>
    <t>Dilution</t>
  </si>
  <si>
    <t>Volumen to FQA (1)</t>
  </si>
  <si>
    <t>Dry mass to FQA (1)</t>
  </si>
  <si>
    <t>Volumen to FQA (2)</t>
  </si>
  <si>
    <t>Dry mass to FQA (2)</t>
  </si>
  <si>
    <t>Volumen to FQA (3)</t>
  </si>
  <si>
    <t>Dry mass to FQA (3)</t>
  </si>
  <si>
    <t>W1F</t>
  </si>
  <si>
    <t>W2F</t>
  </si>
  <si>
    <t>W3F</t>
  </si>
  <si>
    <t>W1N</t>
  </si>
  <si>
    <t>W2N</t>
  </si>
  <si>
    <t>W3N</t>
  </si>
  <si>
    <t>E1F</t>
  </si>
  <si>
    <t>E2F</t>
  </si>
  <si>
    <t>E3F</t>
  </si>
  <si>
    <t>E1N</t>
  </si>
  <si>
    <t>E2N</t>
  </si>
  <si>
    <t>E3N</t>
  </si>
  <si>
    <t>W1F1</t>
  </si>
  <si>
    <t>W</t>
  </si>
  <si>
    <t>W1F5</t>
  </si>
  <si>
    <t>W1F11</t>
  </si>
  <si>
    <t>W1F51</t>
  </si>
  <si>
    <t>W1F12</t>
  </si>
  <si>
    <t>W1F52</t>
  </si>
  <si>
    <t>W1F13</t>
  </si>
  <si>
    <t>W1F53</t>
  </si>
  <si>
    <t>W2F1</t>
  </si>
  <si>
    <t>W2F5</t>
  </si>
  <si>
    <t>W2F11</t>
  </si>
  <si>
    <t>W2F51</t>
  </si>
  <si>
    <t>W2F12</t>
  </si>
  <si>
    <t>W2F52</t>
  </si>
  <si>
    <t>W2F13</t>
  </si>
  <si>
    <t>W2F53</t>
  </si>
  <si>
    <t>weight</t>
  </si>
  <si>
    <t>thickness</t>
  </si>
  <si>
    <t>E3AF3</t>
  </si>
  <si>
    <t>E3AF1</t>
  </si>
  <si>
    <t>E3AN1</t>
  </si>
  <si>
    <t>E2AN4</t>
  </si>
  <si>
    <t>E2AN1</t>
  </si>
  <si>
    <t>E2AF3</t>
  </si>
  <si>
    <t>E3AF2</t>
  </si>
  <si>
    <t>E1AN3</t>
  </si>
  <si>
    <t>E1AN2</t>
  </si>
  <si>
    <t>E2AN3</t>
  </si>
  <si>
    <t>E2AN2</t>
  </si>
  <si>
    <t>E3AN3</t>
  </si>
  <si>
    <t>E3AF4</t>
  </si>
  <si>
    <t>E2AF4</t>
  </si>
  <si>
    <t>E2AF2</t>
  </si>
  <si>
    <t>E2AF1</t>
  </si>
  <si>
    <t>E1AF4</t>
  </si>
  <si>
    <t>E1AF3</t>
  </si>
  <si>
    <t>E1AF2</t>
  </si>
  <si>
    <t>E1AF1</t>
  </si>
  <si>
    <t>E3AN2</t>
  </si>
  <si>
    <t>E3AN4</t>
  </si>
  <si>
    <t>W1AF4</t>
  </si>
  <si>
    <t>W1AF3</t>
  </si>
  <si>
    <t>W1AF2</t>
  </si>
  <si>
    <t>W1AF1</t>
  </si>
  <si>
    <t>W3AF4</t>
  </si>
  <si>
    <t>W3AF3</t>
  </si>
  <si>
    <t>W3AF2</t>
  </si>
  <si>
    <t>W3AF1</t>
  </si>
  <si>
    <t>W2AF4</t>
  </si>
  <si>
    <t>W2AF3</t>
  </si>
  <si>
    <t>W2AF2</t>
  </si>
  <si>
    <t>W2AF1</t>
  </si>
  <si>
    <t>W3AN4</t>
  </si>
  <si>
    <t>W3AN3</t>
  </si>
  <si>
    <t>W3AN2</t>
  </si>
  <si>
    <t>W3AN1</t>
  </si>
  <si>
    <t>W2AN4</t>
  </si>
  <si>
    <t>W2AN3</t>
  </si>
  <si>
    <t>W2AN2</t>
  </si>
  <si>
    <t>W2AN1</t>
  </si>
  <si>
    <t>W1AN4</t>
  </si>
  <si>
    <t>W1AN3</t>
  </si>
  <si>
    <t>W1AN2</t>
  </si>
  <si>
    <t>W1AN1</t>
  </si>
  <si>
    <t>E1N13</t>
  </si>
  <si>
    <t>E1N12</t>
  </si>
  <si>
    <t>E1N1</t>
  </si>
  <si>
    <t>E1N11</t>
  </si>
  <si>
    <t>E2N1</t>
  </si>
  <si>
    <t>E2N11</t>
  </si>
  <si>
    <t>E2N12</t>
  </si>
  <si>
    <t>E2N13</t>
  </si>
  <si>
    <t>E3N1</t>
  </si>
  <si>
    <t>E3N11</t>
  </si>
  <si>
    <t>E3N12</t>
  </si>
  <si>
    <t>E3N13</t>
  </si>
  <si>
    <t>E1F1</t>
  </si>
  <si>
    <t>E1F11</t>
  </si>
  <si>
    <t>E1F12</t>
  </si>
  <si>
    <t>E1F13</t>
  </si>
  <si>
    <t>E2F12</t>
  </si>
  <si>
    <t>E2F13</t>
  </si>
  <si>
    <t>E2F1</t>
  </si>
  <si>
    <t>E2F11</t>
  </si>
  <si>
    <t>E3F13</t>
  </si>
  <si>
    <t>E3F12</t>
  </si>
  <si>
    <t>E3F1</t>
  </si>
  <si>
    <t>E3F11</t>
  </si>
  <si>
    <t>E1N52</t>
  </si>
  <si>
    <t>E1N51</t>
  </si>
  <si>
    <t>E2N5</t>
  </si>
  <si>
    <t>E2N51</t>
  </si>
  <si>
    <t>E2N52</t>
  </si>
  <si>
    <t>E3N5</t>
  </si>
  <si>
    <t>E3N51</t>
  </si>
  <si>
    <t>E3N52</t>
  </si>
  <si>
    <t>E1F5</t>
  </si>
  <si>
    <t>E1F51</t>
  </si>
  <si>
    <t>E1F52</t>
  </si>
  <si>
    <t>E1F53</t>
  </si>
  <si>
    <t>E2F52</t>
  </si>
  <si>
    <t>E2F53</t>
  </si>
  <si>
    <t>E2F5</t>
  </si>
  <si>
    <t>E2F51</t>
  </si>
  <si>
    <t>E3F52</t>
  </si>
  <si>
    <t>E3F53</t>
  </si>
  <si>
    <t>E3F51</t>
  </si>
  <si>
    <t>E3F5</t>
  </si>
  <si>
    <t>W1N12</t>
  </si>
  <si>
    <t>W1N13</t>
  </si>
  <si>
    <t>W1N1</t>
  </si>
  <si>
    <t>W1N11</t>
  </si>
  <si>
    <t>W2N12</t>
  </si>
  <si>
    <t>W2N13</t>
  </si>
  <si>
    <t>W2N1</t>
  </si>
  <si>
    <t>W2N11</t>
  </si>
  <si>
    <t>W3N12</t>
  </si>
  <si>
    <t>W3N13</t>
  </si>
  <si>
    <t>W3N1</t>
  </si>
  <si>
    <t>W3N11</t>
  </si>
  <si>
    <t>W3F12</t>
  </si>
  <si>
    <t>W3F13</t>
  </si>
  <si>
    <t>W3F1</t>
  </si>
  <si>
    <t>W3F11</t>
  </si>
  <si>
    <t>W1N52</t>
  </si>
  <si>
    <t>W1N53</t>
  </si>
  <si>
    <t>W1N5</t>
  </si>
  <si>
    <t>W1N51</t>
  </si>
  <si>
    <t>W2N52</t>
  </si>
  <si>
    <t>W2N53</t>
  </si>
  <si>
    <t>W2N5</t>
  </si>
  <si>
    <t>W2N51</t>
  </si>
  <si>
    <t>W3N52</t>
  </si>
  <si>
    <t>W3N53</t>
  </si>
  <si>
    <t>W3N5</t>
  </si>
  <si>
    <t>W3N51</t>
  </si>
  <si>
    <t>W3F52</t>
  </si>
  <si>
    <t>W3F53</t>
  </si>
  <si>
    <t>W3F5</t>
  </si>
  <si>
    <t>W3F51</t>
  </si>
  <si>
    <t>E</t>
  </si>
  <si>
    <t>ID</t>
  </si>
  <si>
    <t>Chemical_charge</t>
  </si>
  <si>
    <t>Liquor_Biomass_ratio</t>
  </si>
  <si>
    <t>Time_at_max_T</t>
  </si>
  <si>
    <t>Raw_material_OD</t>
  </si>
  <si>
    <t>Total_pulp_OD</t>
  </si>
  <si>
    <t>Total_yield</t>
  </si>
  <si>
    <t>Screened_mass</t>
  </si>
  <si>
    <t>Screening_yield</t>
  </si>
  <si>
    <t>Total_screened_yield</t>
  </si>
  <si>
    <t>Y</t>
  </si>
  <si>
    <t>N</t>
  </si>
  <si>
    <t>fines</t>
  </si>
  <si>
    <t>freeness</t>
  </si>
  <si>
    <t>u_freeness</t>
  </si>
  <si>
    <t>OD_mass_freeness_hs</t>
  </si>
  <si>
    <t>ID1</t>
  </si>
  <si>
    <t>E1AN4</t>
  </si>
  <si>
    <t>E1AN1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</si>
</sst>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%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9" fontId="0" fillId="0" borderId="0" xfId="0" applyNumberFormat="1"/>
    <xf numFmtId="164" fontId="0" fillId="0" borderId="0" xfId="0" applyNumberFormat="1"/>
    <xf numFmtId="9" fontId="0" fillId="0" borderId="0" xfId="1" applyFont="1"/>
    <xf numFmtId="165" fontId="0" fillId="0" borderId="0" xfId="1" applyNumberFormat="1" applyFont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/>
    <xf numFmtId="0" fontId="0" fillId="2" borderId="0" xfId="0" applyFill="1"/>
    <xf numFmtId="10" fontId="0" fillId="2" borderId="0" xfId="1" applyNumberFormat="1" applyFont="1" applyFill="1"/>
    <xf numFmtId="10" fontId="0" fillId="0" borderId="0" xfId="1" applyNumberFormat="1" applyFont="1"/>
    <xf numFmtId="2" fontId="0" fillId="2" borderId="0" xfId="0" applyNumberFormat="1" applyFill="1"/>
    <xf numFmtId="2" fontId="0" fillId="0" borderId="0" xfId="0" applyNumberFormat="1"/>
    <xf numFmtId="166" fontId="0" fillId="2" borderId="0" xfId="1" applyNumberFormat="1" applyFont="1" applyFill="1"/>
    <xf numFmtId="0" fontId="0" fillId="0" borderId="0" xfId="0" applyAlignment="1">
      <alignment horizontal="right"/>
    </xf>
    <xf numFmtId="0" fontId="0" fillId="3" borderId="0" xfId="0" applyFill="1"/>
    <xf numFmtId="166" fontId="0" fillId="0" borderId="0" xfId="1" applyNumberFormat="1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Handsheets_making!$C$49:$C$52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3.5</c:v>
                </c:pt>
                <c:pt idx="3">
                  <c:v>5</c:v>
                </c:pt>
              </c:numCache>
            </c:numRef>
          </c:xVal>
          <c:yVal>
            <c:numRef>
              <c:f>Handsheets_making!$D$49:$D$52</c:f>
              <c:numCache>
                <c:formatCode>General</c:formatCode>
                <c:ptCount val="4"/>
                <c:pt idx="0">
                  <c:v>1.016</c:v>
                </c:pt>
                <c:pt idx="1">
                  <c:v>2.0430000000000001</c:v>
                </c:pt>
                <c:pt idx="2">
                  <c:v>3.5579999999999998</c:v>
                </c:pt>
                <c:pt idx="3">
                  <c:v>5.0830000000000002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F-497D-AAA8-DEF798A5D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89392"/>
        <c:axId val="1101207056"/>
      </c:scatterChart>
      <c:valAx>
        <c:axId val="108098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207056"/>
        <c:crosses val="autoZero"/>
        <c:crossBetween val="midCat"/>
      </c:valAx>
      <c:valAx>
        <c:axId val="11012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98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</xdr:colOff>
      <xdr:row>39</xdr:row>
      <xdr:rowOff>100692</xdr:rowOff>
    </xdr:from>
    <xdr:to>
      <xdr:col>13</xdr:col>
      <xdr:colOff>429985</xdr:colOff>
      <xdr:row>54</xdr:row>
      <xdr:rowOff>149678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2D3C0-57D1-E9BF-9722-B69EA043C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7354-F328-41C8-8F01-1B8CBD397234}">
  <dimension ref="A1:O7"/>
  <sheetViews>
    <sheetView workbookViewId="0">
      <selection activeCell="E10" sqref="E10"/>
    </sheetView>
  </sheetViews>
  <sheetFormatPr defaultRowHeight="14.25" x14ac:dyDescent="0.2"/>
  <cols>
    <col min="9" max="9" width="13.125" bestFit="1" customWidth="1"/>
    <col min="11" max="11" width="12.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262</v>
      </c>
      <c r="E1" t="s">
        <v>263</v>
      </c>
      <c r="F1" t="s">
        <v>3</v>
      </c>
      <c r="G1" t="s">
        <v>4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5</v>
      </c>
    </row>
    <row r="2" spans="1:15" x14ac:dyDescent="0.2">
      <c r="A2" t="s">
        <v>120</v>
      </c>
      <c r="B2" t="s">
        <v>6</v>
      </c>
      <c r="C2" t="s">
        <v>7</v>
      </c>
      <c r="D2" s="1">
        <v>0.25</v>
      </c>
      <c r="E2">
        <v>6</v>
      </c>
      <c r="F2">
        <v>5.5</v>
      </c>
      <c r="G2">
        <v>150</v>
      </c>
      <c r="H2">
        <v>7</v>
      </c>
      <c r="I2">
        <v>240</v>
      </c>
      <c r="J2" s="2">
        <f>417.36*26.43%</f>
        <v>110.30824799999999</v>
      </c>
      <c r="K2" s="4">
        <f t="shared" ref="K2:K7" si="0">J2/I2</f>
        <v>0.45961769999999996</v>
      </c>
      <c r="L2" s="2">
        <f>357.8*0.28</f>
        <v>100.18400000000001</v>
      </c>
      <c r="M2" s="4">
        <f t="shared" ref="M2:M7" si="1">L2/J2</f>
        <v>0.90821857672873219</v>
      </c>
      <c r="N2" s="4">
        <f t="shared" ref="N2:N7" si="2">L2/I2</f>
        <v>0.41743333333333338</v>
      </c>
      <c r="O2">
        <v>12</v>
      </c>
    </row>
    <row r="3" spans="1:15" x14ac:dyDescent="0.2">
      <c r="A3" t="s">
        <v>120</v>
      </c>
      <c r="B3" t="s">
        <v>8</v>
      </c>
      <c r="C3" t="s">
        <v>7</v>
      </c>
      <c r="D3" s="1">
        <v>0.25</v>
      </c>
      <c r="E3">
        <v>6</v>
      </c>
      <c r="F3">
        <v>5.5</v>
      </c>
      <c r="G3">
        <v>150</v>
      </c>
      <c r="H3">
        <v>7</v>
      </c>
      <c r="I3">
        <v>240</v>
      </c>
      <c r="J3" s="2">
        <f>419.4*0.2604</f>
        <v>109.21176</v>
      </c>
      <c r="K3" s="4">
        <f t="shared" si="0"/>
        <v>0.45504899999999998</v>
      </c>
      <c r="L3" s="2">
        <f>349.71*0.2962</f>
        <v>103.584102</v>
      </c>
      <c r="M3" s="4">
        <f t="shared" si="1"/>
        <v>0.94847021969062673</v>
      </c>
      <c r="N3" s="4">
        <f t="shared" si="2"/>
        <v>0.43160042500000001</v>
      </c>
      <c r="O3">
        <v>13.1</v>
      </c>
    </row>
    <row r="4" spans="1:15" x14ac:dyDescent="0.2">
      <c r="A4" t="s">
        <v>120</v>
      </c>
      <c r="B4" t="s">
        <v>9</v>
      </c>
      <c r="C4" t="s">
        <v>7</v>
      </c>
      <c r="D4" s="1">
        <v>0.25</v>
      </c>
      <c r="E4">
        <v>6</v>
      </c>
      <c r="F4">
        <v>5.5</v>
      </c>
      <c r="G4">
        <v>150</v>
      </c>
      <c r="H4">
        <v>7</v>
      </c>
      <c r="I4">
        <v>240</v>
      </c>
      <c r="J4" s="2">
        <f>419.3*0.26</f>
        <v>109.018</v>
      </c>
      <c r="K4" s="4">
        <f t="shared" si="0"/>
        <v>0.45424166666666665</v>
      </c>
      <c r="L4" s="2">
        <f>346.42*0.299</f>
        <v>103.57958000000001</v>
      </c>
      <c r="M4" s="4">
        <f t="shared" si="1"/>
        <v>0.95011447650846659</v>
      </c>
      <c r="N4" s="4">
        <f t="shared" si="2"/>
        <v>0.43158158333333335</v>
      </c>
      <c r="O4">
        <v>12.6</v>
      </c>
    </row>
    <row r="5" spans="1:15" x14ac:dyDescent="0.2">
      <c r="A5" t="s">
        <v>260</v>
      </c>
      <c r="B5" t="s">
        <v>10</v>
      </c>
      <c r="C5" t="s">
        <v>7</v>
      </c>
      <c r="D5" s="1">
        <v>0.25</v>
      </c>
      <c r="E5">
        <v>4</v>
      </c>
      <c r="F5">
        <v>5.5</v>
      </c>
      <c r="G5">
        <v>160</v>
      </c>
      <c r="H5">
        <v>6.25</v>
      </c>
      <c r="I5">
        <v>250</v>
      </c>
      <c r="J5" s="2">
        <f>389.41*0.3049</f>
        <v>118.731109</v>
      </c>
      <c r="K5" s="4">
        <f t="shared" si="0"/>
        <v>0.47492443600000001</v>
      </c>
      <c r="L5" s="2">
        <f>342.76*0.3051</f>
        <v>104.57607599999999</v>
      </c>
      <c r="M5" s="4">
        <f t="shared" si="1"/>
        <v>0.88078075645701237</v>
      </c>
      <c r="N5" s="4">
        <f t="shared" si="2"/>
        <v>0.41830430399999996</v>
      </c>
      <c r="O5">
        <v>13.4</v>
      </c>
    </row>
    <row r="6" spans="1:15" x14ac:dyDescent="0.2">
      <c r="A6" t="s">
        <v>260</v>
      </c>
      <c r="B6" t="s">
        <v>11</v>
      </c>
      <c r="C6" t="s">
        <v>7</v>
      </c>
      <c r="D6" s="1">
        <v>0.25</v>
      </c>
      <c r="E6">
        <v>4</v>
      </c>
      <c r="F6">
        <v>5.5</v>
      </c>
      <c r="G6">
        <v>160</v>
      </c>
      <c r="H6">
        <v>6.25</v>
      </c>
      <c r="I6">
        <v>250</v>
      </c>
      <c r="J6" s="2">
        <f>400.59*0.3052</f>
        <v>122.260068</v>
      </c>
      <c r="K6" s="4">
        <f t="shared" si="0"/>
        <v>0.489040272</v>
      </c>
      <c r="L6" s="2">
        <f>353.84*0.2996</f>
        <v>106.01046399999998</v>
      </c>
      <c r="M6" s="4">
        <f t="shared" si="1"/>
        <v>0.86708984981097814</v>
      </c>
      <c r="N6" s="4">
        <f t="shared" si="2"/>
        <v>0.42404185599999994</v>
      </c>
      <c r="O6">
        <v>13.3</v>
      </c>
    </row>
    <row r="7" spans="1:15" x14ac:dyDescent="0.2">
      <c r="A7" t="s">
        <v>260</v>
      </c>
      <c r="B7" t="s">
        <v>12</v>
      </c>
      <c r="C7" t="s">
        <v>7</v>
      </c>
      <c r="D7" s="1">
        <v>0.25</v>
      </c>
      <c r="E7">
        <v>4</v>
      </c>
      <c r="F7">
        <v>5.5</v>
      </c>
      <c r="G7">
        <v>160</v>
      </c>
      <c r="H7">
        <v>6.25</v>
      </c>
      <c r="I7">
        <v>250</v>
      </c>
      <c r="J7" s="2">
        <f>386.03*0.3052</f>
        <v>117.816356</v>
      </c>
      <c r="K7" s="4">
        <f t="shared" si="0"/>
        <v>0.47126542399999999</v>
      </c>
      <c r="L7" s="2">
        <f>328.98*0.3052</f>
        <v>100.40469600000002</v>
      </c>
      <c r="M7" s="4">
        <f t="shared" si="1"/>
        <v>0.85221355853172043</v>
      </c>
      <c r="N7" s="4">
        <f t="shared" si="2"/>
        <v>0.40161878400000006</v>
      </c>
      <c r="O7">
        <v>14.7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0B99-FCB6-4CAB-A1B9-04A1372D6C8F}">
  <dimension ref="B1:N8"/>
  <sheetViews>
    <sheetView workbookViewId="0">
      <selection activeCell="J10" sqref="J10"/>
    </sheetView>
  </sheetViews>
  <sheetFormatPr defaultRowHeight="14.25" x14ac:dyDescent="0.2"/>
  <cols>
    <col min="9" max="9" width="9" style="7"/>
  </cols>
  <sheetData>
    <row r="1" spans="2:14" x14ac:dyDescent="0.2">
      <c r="C1" s="18" t="s">
        <v>13</v>
      </c>
      <c r="D1" s="18"/>
      <c r="E1" s="18"/>
      <c r="F1" s="18"/>
      <c r="G1" s="18"/>
      <c r="H1" s="5"/>
      <c r="I1" s="17" t="s">
        <v>14</v>
      </c>
      <c r="J1" s="18"/>
      <c r="K1" s="18"/>
      <c r="L1" s="18"/>
      <c r="M1" s="18"/>
    </row>
    <row r="2" spans="2:14" x14ac:dyDescent="0.2">
      <c r="B2" t="s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7" t="s">
        <v>21</v>
      </c>
      <c r="J2" t="s">
        <v>16</v>
      </c>
      <c r="K2" t="s">
        <v>22</v>
      </c>
      <c r="L2" t="s">
        <v>23</v>
      </c>
    </row>
    <row r="3" spans="2:14" x14ac:dyDescent="0.2">
      <c r="B3" t="s">
        <v>6</v>
      </c>
      <c r="C3">
        <v>330.24</v>
      </c>
      <c r="D3" s="6">
        <v>0.28360000000000002</v>
      </c>
      <c r="E3" s="2">
        <f t="shared" ref="E3:E8" si="0">C3*D3</f>
        <v>93.656064000000015</v>
      </c>
      <c r="F3">
        <f t="shared" ref="F3:F8" si="1">C3/2</f>
        <v>165.12</v>
      </c>
      <c r="G3" s="2">
        <f t="shared" ref="G3:G8" si="2">F3/4</f>
        <v>41.28</v>
      </c>
      <c r="H3" s="2">
        <f>E3/2</f>
        <v>46.828032000000007</v>
      </c>
      <c r="I3" s="7">
        <f>117.84-3.54</f>
        <v>114.3</v>
      </c>
      <c r="J3" s="6">
        <v>0.28100000000000003</v>
      </c>
      <c r="K3">
        <f t="shared" ref="K3:K8" si="3">I3*J3</f>
        <v>32.118300000000005</v>
      </c>
      <c r="L3" s="3">
        <f t="shared" ref="L3:L8" si="4">K3/(F3*D3)</f>
        <v>0.68587763841965432</v>
      </c>
    </row>
    <row r="4" spans="2:14" x14ac:dyDescent="0.2">
      <c r="B4" t="s">
        <v>8</v>
      </c>
      <c r="C4">
        <v>323</v>
      </c>
      <c r="D4" s="6">
        <v>0.29620000000000002</v>
      </c>
      <c r="E4" s="2">
        <f t="shared" si="0"/>
        <v>95.672600000000003</v>
      </c>
      <c r="F4">
        <f t="shared" si="1"/>
        <v>161.5</v>
      </c>
      <c r="G4" s="2">
        <f t="shared" si="2"/>
        <v>40.375</v>
      </c>
      <c r="H4" s="2">
        <f t="shared" ref="H4:H8" si="5">E4/2</f>
        <v>47.836300000000001</v>
      </c>
      <c r="I4" s="7">
        <f>120.39-3.58</f>
        <v>116.81</v>
      </c>
      <c r="J4" s="6">
        <v>0.309</v>
      </c>
      <c r="K4">
        <f t="shared" si="3"/>
        <v>36.094290000000001</v>
      </c>
      <c r="L4" s="3">
        <f>K4/(F4*D4)</f>
        <v>0.75453766282091217</v>
      </c>
    </row>
    <row r="5" spans="2:14" x14ac:dyDescent="0.2">
      <c r="B5" t="s">
        <v>9</v>
      </c>
      <c r="C5">
        <v>319.8</v>
      </c>
      <c r="D5" s="6">
        <v>0.29899999999999999</v>
      </c>
      <c r="E5" s="2">
        <f t="shared" si="0"/>
        <v>95.620199999999997</v>
      </c>
      <c r="F5">
        <f t="shared" si="1"/>
        <v>159.9</v>
      </c>
      <c r="G5" s="2">
        <f t="shared" si="2"/>
        <v>39.975000000000001</v>
      </c>
      <c r="H5" s="2">
        <f>E5/2-10</f>
        <v>37.810099999999998</v>
      </c>
      <c r="I5" s="7">
        <f>118.86-3.59</f>
        <v>115.27</v>
      </c>
      <c r="J5" s="6">
        <v>0.27779999999999999</v>
      </c>
      <c r="K5">
        <f t="shared" si="3"/>
        <v>32.022005999999998</v>
      </c>
      <c r="L5" s="3">
        <f t="shared" si="4"/>
        <v>0.66977492203530209</v>
      </c>
      <c r="N5" t="s">
        <v>24</v>
      </c>
    </row>
    <row r="6" spans="2:14" x14ac:dyDescent="0.2">
      <c r="B6" t="s">
        <v>10</v>
      </c>
      <c r="C6">
        <f>328.62-9.1</f>
        <v>319.52</v>
      </c>
      <c r="D6" s="6">
        <v>0.30509999999999998</v>
      </c>
      <c r="E6" s="2">
        <f t="shared" si="0"/>
        <v>97.485551999999984</v>
      </c>
      <c r="F6">
        <f t="shared" si="1"/>
        <v>159.76</v>
      </c>
      <c r="G6" s="2">
        <f t="shared" si="2"/>
        <v>39.94</v>
      </c>
      <c r="H6" s="2">
        <f t="shared" si="5"/>
        <v>48.742775999999992</v>
      </c>
      <c r="I6" s="7">
        <f>120.22-3.71</f>
        <v>116.51</v>
      </c>
      <c r="J6" s="6">
        <v>0.28120000000000001</v>
      </c>
      <c r="K6">
        <f t="shared" si="3"/>
        <v>32.762612000000004</v>
      </c>
      <c r="L6" s="3">
        <f t="shared" si="4"/>
        <v>0.6721531822479706</v>
      </c>
    </row>
    <row r="7" spans="2:14" x14ac:dyDescent="0.2">
      <c r="B7" t="s">
        <v>11</v>
      </c>
      <c r="C7">
        <f>332.89-9.03</f>
        <v>323.86</v>
      </c>
      <c r="D7" s="6">
        <v>0.29959999999999998</v>
      </c>
      <c r="E7" s="2">
        <f t="shared" si="0"/>
        <v>97.028455999999991</v>
      </c>
      <c r="F7">
        <f t="shared" si="1"/>
        <v>161.93</v>
      </c>
      <c r="G7" s="2">
        <f t="shared" si="2"/>
        <v>40.482500000000002</v>
      </c>
      <c r="H7" s="2">
        <f t="shared" si="5"/>
        <v>48.514227999999996</v>
      </c>
      <c r="I7" s="7">
        <v>100.95</v>
      </c>
      <c r="J7" s="6">
        <v>0.29220000000000002</v>
      </c>
      <c r="K7">
        <f t="shared" si="3"/>
        <v>29.497590000000002</v>
      </c>
      <c r="L7" s="3">
        <f t="shared" si="4"/>
        <v>0.60801936289700431</v>
      </c>
    </row>
    <row r="8" spans="2:14" x14ac:dyDescent="0.2">
      <c r="B8" t="s">
        <v>12</v>
      </c>
      <c r="C8">
        <f>316.64-9.02</f>
        <v>307.62</v>
      </c>
      <c r="D8" s="6">
        <v>0.30520000000000003</v>
      </c>
      <c r="E8" s="2">
        <f t="shared" si="0"/>
        <v>93.885624000000007</v>
      </c>
      <c r="F8">
        <f t="shared" si="1"/>
        <v>153.81</v>
      </c>
      <c r="G8" s="2">
        <f t="shared" si="2"/>
        <v>38.452500000000001</v>
      </c>
      <c r="H8" s="2">
        <f t="shared" si="5"/>
        <v>46.942812000000004</v>
      </c>
      <c r="I8" s="7">
        <v>104.03</v>
      </c>
      <c r="J8" s="6">
        <v>0.2959</v>
      </c>
      <c r="K8">
        <f t="shared" si="3"/>
        <v>30.782477</v>
      </c>
      <c r="L8" s="3">
        <f t="shared" si="4"/>
        <v>0.65574420637604747</v>
      </c>
    </row>
  </sheetData>
  <mergeCells count="2">
    <mergeCell ref="I1:M1"/>
    <mergeCell ref="C1:G1"/>
  </mergeCells>
  <pageMargins left="0.7" right="0.7" top="0.75" bottom="0.75" header="0.3" footer="0.3"/>
  <ignoredErrors>
    <ignoredError sqref="G3:G8 H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7638-B883-406E-9E87-4889AAE94CFC}">
  <dimension ref="B2:U64"/>
  <sheetViews>
    <sheetView topLeftCell="B1" workbookViewId="0">
      <selection activeCell="E5" sqref="E5"/>
    </sheetView>
  </sheetViews>
  <sheetFormatPr defaultRowHeight="14.25" x14ac:dyDescent="0.2"/>
  <cols>
    <col min="3" max="3" width="11.5" bestFit="1" customWidth="1"/>
    <col min="4" max="4" width="11.5" customWidth="1"/>
  </cols>
  <sheetData>
    <row r="2" spans="2:21" x14ac:dyDescent="0.2">
      <c r="B2" t="s">
        <v>25</v>
      </c>
      <c r="C2" t="s">
        <v>26</v>
      </c>
      <c r="D2" t="s">
        <v>27</v>
      </c>
      <c r="E2" t="s">
        <v>261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16</v>
      </c>
      <c r="L2" t="s">
        <v>21</v>
      </c>
      <c r="M2" t="s">
        <v>33</v>
      </c>
      <c r="N2" t="s">
        <v>34</v>
      </c>
      <c r="P2" t="s">
        <v>35</v>
      </c>
      <c r="Q2" t="s">
        <v>36</v>
      </c>
      <c r="R2" t="s">
        <v>37</v>
      </c>
      <c r="S2" t="s">
        <v>16</v>
      </c>
      <c r="T2" t="s">
        <v>38</v>
      </c>
      <c r="U2" t="s">
        <v>39</v>
      </c>
    </row>
    <row r="3" spans="2:21" s="8" customFormat="1" x14ac:dyDescent="0.2">
      <c r="B3" s="8" t="s">
        <v>6</v>
      </c>
      <c r="C3" s="8" t="s">
        <v>40</v>
      </c>
      <c r="D3" s="8" t="s">
        <v>41</v>
      </c>
      <c r="E3" s="8" t="s">
        <v>107</v>
      </c>
      <c r="F3" s="8">
        <v>60</v>
      </c>
      <c r="G3" s="8">
        <f t="shared" ref="G3:G38" si="0">F3*0.02</f>
        <v>1.2</v>
      </c>
      <c r="H3" s="8">
        <v>4</v>
      </c>
      <c r="I3" s="8">
        <f t="shared" ref="I3:I38" si="1">H3*G3</f>
        <v>4.8</v>
      </c>
      <c r="J3" s="8">
        <f>IFERROR(I3*5+3, " ")</f>
        <v>27</v>
      </c>
      <c r="K3" s="9">
        <f>Fines_removal!D3</f>
        <v>0.28360000000000002</v>
      </c>
      <c r="L3" s="11">
        <f>IFERROR(J3/K3," ")</f>
        <v>95.204513399153726</v>
      </c>
      <c r="M3" s="8">
        <f>IFERROR(J3/0.012, " ")</f>
        <v>2250</v>
      </c>
      <c r="N3" s="8">
        <v>9055</v>
      </c>
      <c r="O3" s="13">
        <f>J3/N3</f>
        <v>2.9817780231916067E-3</v>
      </c>
      <c r="P3" s="8">
        <v>500</v>
      </c>
      <c r="Q3" s="8">
        <v>28</v>
      </c>
      <c r="R3" s="8">
        <v>2.9670000000000001</v>
      </c>
      <c r="S3" s="13">
        <f>R3/1000</f>
        <v>2.967E-3</v>
      </c>
      <c r="U3" s="8">
        <f>1.2/S3</f>
        <v>404.4489383215369</v>
      </c>
    </row>
    <row r="4" spans="2:21" s="8" customFormat="1" x14ac:dyDescent="0.2">
      <c r="B4" s="8" t="s">
        <v>6</v>
      </c>
      <c r="C4" s="8" t="s">
        <v>42</v>
      </c>
      <c r="D4" s="8" t="s">
        <v>41</v>
      </c>
      <c r="E4" s="8" t="s">
        <v>107</v>
      </c>
      <c r="F4" s="8">
        <v>60</v>
      </c>
      <c r="G4" s="8">
        <f t="shared" si="0"/>
        <v>1.2</v>
      </c>
      <c r="H4" s="8">
        <v>4</v>
      </c>
      <c r="I4" s="8">
        <f t="shared" si="1"/>
        <v>4.8</v>
      </c>
      <c r="K4" s="9"/>
      <c r="L4" s="11" t="str">
        <f t="shared" ref="L4:L38" si="2">IFERROR(J4/K4," ")</f>
        <v xml:space="preserve"> </v>
      </c>
    </row>
    <row r="5" spans="2:21" x14ac:dyDescent="0.2">
      <c r="B5" t="s">
        <v>6</v>
      </c>
      <c r="C5" t="s">
        <v>43</v>
      </c>
      <c r="D5" t="s">
        <v>41</v>
      </c>
      <c r="E5" t="s">
        <v>44</v>
      </c>
      <c r="F5">
        <v>60</v>
      </c>
      <c r="G5">
        <f t="shared" si="0"/>
        <v>1.2</v>
      </c>
      <c r="H5">
        <v>4</v>
      </c>
      <c r="I5">
        <f t="shared" si="1"/>
        <v>4.8</v>
      </c>
      <c r="J5">
        <f>I5</f>
        <v>4.8</v>
      </c>
      <c r="K5" s="10">
        <f>K3</f>
        <v>0.28360000000000002</v>
      </c>
      <c r="L5" s="12">
        <f>IFERROR(J5/K5," ")</f>
        <v>16.925246826516219</v>
      </c>
      <c r="M5">
        <f>IFERROR(J5/0.012, " ")</f>
        <v>400</v>
      </c>
      <c r="N5">
        <f>J5/0.003</f>
        <v>1600</v>
      </c>
    </row>
    <row r="6" spans="2:21" s="8" customFormat="1" x14ac:dyDescent="0.2">
      <c r="B6" s="8" t="s">
        <v>6</v>
      </c>
      <c r="C6" s="8" t="s">
        <v>40</v>
      </c>
      <c r="D6" s="8" t="s">
        <v>45</v>
      </c>
      <c r="E6" s="8" t="s">
        <v>46</v>
      </c>
      <c r="F6" s="8">
        <v>60</v>
      </c>
      <c r="G6" s="8">
        <f t="shared" si="0"/>
        <v>1.2</v>
      </c>
      <c r="H6" s="8">
        <v>4</v>
      </c>
      <c r="I6" s="8">
        <f t="shared" si="1"/>
        <v>4.8</v>
      </c>
      <c r="J6" s="8">
        <f>I6*5+3</f>
        <v>27</v>
      </c>
      <c r="K6" s="9">
        <f>Fines_removal!J3</f>
        <v>0.28100000000000003</v>
      </c>
      <c r="L6" s="11">
        <f t="shared" si="2"/>
        <v>96.085409252669024</v>
      </c>
      <c r="M6" s="8">
        <v>2250</v>
      </c>
      <c r="N6" s="8">
        <v>9008</v>
      </c>
      <c r="O6" s="13">
        <f>J6/N6</f>
        <v>2.997335701598579E-3</v>
      </c>
      <c r="P6" s="8">
        <v>600</v>
      </c>
      <c r="Q6" s="8">
        <v>29</v>
      </c>
      <c r="R6" s="8">
        <v>2.97</v>
      </c>
      <c r="S6" s="13">
        <f>R6/1000</f>
        <v>2.97E-3</v>
      </c>
      <c r="U6" s="8">
        <f>1.2/S6</f>
        <v>404.04040404040404</v>
      </c>
    </row>
    <row r="7" spans="2:21" s="8" customFormat="1" x14ac:dyDescent="0.2">
      <c r="B7" s="8" t="s">
        <v>6</v>
      </c>
      <c r="C7" s="8" t="s">
        <v>42</v>
      </c>
      <c r="D7" s="8" t="s">
        <v>45</v>
      </c>
      <c r="E7" s="8" t="s">
        <v>47</v>
      </c>
      <c r="F7" s="8">
        <v>60</v>
      </c>
      <c r="G7" s="8">
        <f t="shared" si="0"/>
        <v>1.2</v>
      </c>
      <c r="H7" s="8">
        <v>4</v>
      </c>
      <c r="I7" s="8">
        <f t="shared" si="1"/>
        <v>4.8</v>
      </c>
      <c r="K7" s="9"/>
      <c r="L7" s="11" t="str">
        <f t="shared" si="2"/>
        <v xml:space="preserve"> </v>
      </c>
    </row>
    <row r="8" spans="2:21" x14ac:dyDescent="0.2">
      <c r="B8" t="s">
        <v>6</v>
      </c>
      <c r="C8" t="s">
        <v>43</v>
      </c>
      <c r="D8" t="s">
        <v>45</v>
      </c>
      <c r="E8" t="s">
        <v>48</v>
      </c>
      <c r="F8">
        <v>60</v>
      </c>
      <c r="G8">
        <f t="shared" si="0"/>
        <v>1.2</v>
      </c>
      <c r="H8">
        <v>4</v>
      </c>
      <c r="I8">
        <f t="shared" si="1"/>
        <v>4.8</v>
      </c>
      <c r="J8">
        <f>I8</f>
        <v>4.8</v>
      </c>
      <c r="K8" s="10">
        <f>K6</f>
        <v>0.28100000000000003</v>
      </c>
      <c r="L8" s="12">
        <f t="shared" si="2"/>
        <v>17.081850533807827</v>
      </c>
      <c r="M8">
        <f>IFERROR(J8/0.012, " ")</f>
        <v>400</v>
      </c>
    </row>
    <row r="9" spans="2:21" s="8" customFormat="1" x14ac:dyDescent="0.2">
      <c r="B9" s="8" t="s">
        <v>8</v>
      </c>
      <c r="C9" s="8" t="s">
        <v>40</v>
      </c>
      <c r="D9" s="8" t="s">
        <v>41</v>
      </c>
      <c r="E9" s="8" t="s">
        <v>49</v>
      </c>
      <c r="F9" s="8">
        <v>60</v>
      </c>
      <c r="G9" s="8">
        <f t="shared" si="0"/>
        <v>1.2</v>
      </c>
      <c r="H9" s="8">
        <v>4</v>
      </c>
      <c r="I9" s="8">
        <f t="shared" si="1"/>
        <v>4.8</v>
      </c>
      <c r="J9" s="8">
        <f>I9*5+3</f>
        <v>27</v>
      </c>
      <c r="K9" s="9">
        <f>Fines_removal!D4</f>
        <v>0.29620000000000002</v>
      </c>
      <c r="L9" s="11">
        <f t="shared" si="2"/>
        <v>91.154625253207286</v>
      </c>
      <c r="M9" s="8">
        <v>2250</v>
      </c>
      <c r="N9" s="8">
        <v>9031</v>
      </c>
      <c r="O9" s="13">
        <f>J9/N9</f>
        <v>2.9897021370833793E-3</v>
      </c>
      <c r="P9" s="8">
        <v>510</v>
      </c>
      <c r="Q9" s="8">
        <v>28</v>
      </c>
      <c r="R9" s="8">
        <v>3.08</v>
      </c>
      <c r="S9" s="13">
        <f>R9/1000</f>
        <v>3.0800000000000003E-3</v>
      </c>
      <c r="U9" s="8">
        <f>1.2/S9</f>
        <v>389.61038961038957</v>
      </c>
    </row>
    <row r="10" spans="2:21" s="8" customFormat="1" x14ac:dyDescent="0.2">
      <c r="B10" s="8" t="s">
        <v>8</v>
      </c>
      <c r="C10" s="8" t="s">
        <v>42</v>
      </c>
      <c r="D10" s="8" t="s">
        <v>41</v>
      </c>
      <c r="E10" s="8" t="s">
        <v>50</v>
      </c>
      <c r="F10" s="8">
        <v>60</v>
      </c>
      <c r="G10" s="8">
        <f t="shared" si="0"/>
        <v>1.2</v>
      </c>
      <c r="H10" s="8">
        <v>4</v>
      </c>
      <c r="I10" s="8">
        <f t="shared" si="1"/>
        <v>4.8</v>
      </c>
      <c r="K10" s="9"/>
      <c r="L10" s="11" t="str">
        <f t="shared" si="2"/>
        <v xml:space="preserve"> </v>
      </c>
    </row>
    <row r="11" spans="2:21" x14ac:dyDescent="0.2">
      <c r="B11" t="s">
        <v>8</v>
      </c>
      <c r="C11" t="s">
        <v>43</v>
      </c>
      <c r="D11" t="s">
        <v>41</v>
      </c>
      <c r="E11" t="s">
        <v>51</v>
      </c>
      <c r="F11">
        <v>60</v>
      </c>
      <c r="G11">
        <f t="shared" si="0"/>
        <v>1.2</v>
      </c>
      <c r="H11">
        <v>4</v>
      </c>
      <c r="I11">
        <f t="shared" si="1"/>
        <v>4.8</v>
      </c>
      <c r="J11">
        <f>I11</f>
        <v>4.8</v>
      </c>
      <c r="K11" s="10">
        <f>K9</f>
        <v>0.29620000000000002</v>
      </c>
      <c r="L11" s="12">
        <f t="shared" si="2"/>
        <v>16.205266711681293</v>
      </c>
      <c r="M11">
        <f>IFERROR(J11/0.012, " ")</f>
        <v>400</v>
      </c>
    </row>
    <row r="12" spans="2:21" s="8" customFormat="1" x14ac:dyDescent="0.2">
      <c r="B12" s="8" t="s">
        <v>8</v>
      </c>
      <c r="C12" s="8" t="s">
        <v>40</v>
      </c>
      <c r="D12" s="8" t="s">
        <v>45</v>
      </c>
      <c r="E12" s="8" t="s">
        <v>52</v>
      </c>
      <c r="F12" s="8">
        <v>60</v>
      </c>
      <c r="G12" s="8">
        <f t="shared" si="0"/>
        <v>1.2</v>
      </c>
      <c r="H12" s="8">
        <v>4</v>
      </c>
      <c r="I12" s="8">
        <f t="shared" si="1"/>
        <v>4.8</v>
      </c>
      <c r="J12" s="8">
        <f>I12*5+3</f>
        <v>27</v>
      </c>
      <c r="K12" s="9">
        <f>Fines_removal!J4</f>
        <v>0.309</v>
      </c>
      <c r="L12" s="11">
        <f t="shared" si="2"/>
        <v>87.378640776699029</v>
      </c>
      <c r="M12" s="8">
        <v>2250</v>
      </c>
      <c r="N12" s="8">
        <v>9019</v>
      </c>
      <c r="O12" s="13">
        <f>J12/N12</f>
        <v>2.9936800088701631E-3</v>
      </c>
      <c r="P12" s="8">
        <v>620</v>
      </c>
      <c r="Q12" s="8">
        <v>30</v>
      </c>
      <c r="R12" s="8">
        <v>2.7669999999999999</v>
      </c>
      <c r="S12" s="13">
        <f>R12/1000</f>
        <v>2.7669999999999999E-3</v>
      </c>
      <c r="U12" s="8">
        <f>1.2/S12</f>
        <v>433.68268883267075</v>
      </c>
    </row>
    <row r="13" spans="2:21" s="8" customFormat="1" x14ac:dyDescent="0.2">
      <c r="B13" s="8" t="s">
        <v>8</v>
      </c>
      <c r="C13" s="8" t="s">
        <v>42</v>
      </c>
      <c r="D13" s="8" t="s">
        <v>45</v>
      </c>
      <c r="E13" s="8" t="s">
        <v>53</v>
      </c>
      <c r="F13" s="8">
        <v>60</v>
      </c>
      <c r="G13" s="8">
        <f t="shared" si="0"/>
        <v>1.2</v>
      </c>
      <c r="H13" s="8">
        <v>4</v>
      </c>
      <c r="I13" s="8">
        <f t="shared" si="1"/>
        <v>4.8</v>
      </c>
      <c r="K13" s="9"/>
      <c r="L13" s="11" t="str">
        <f t="shared" si="2"/>
        <v xml:space="preserve"> </v>
      </c>
      <c r="S13" s="8">
        <f>8000/U3</f>
        <v>19.78</v>
      </c>
    </row>
    <row r="14" spans="2:21" x14ac:dyDescent="0.2">
      <c r="B14" t="s">
        <v>8</v>
      </c>
      <c r="C14" t="s">
        <v>43</v>
      </c>
      <c r="D14" t="s">
        <v>45</v>
      </c>
      <c r="E14" t="s">
        <v>54</v>
      </c>
      <c r="F14">
        <v>60</v>
      </c>
      <c r="G14">
        <f t="shared" si="0"/>
        <v>1.2</v>
      </c>
      <c r="H14">
        <v>4</v>
      </c>
      <c r="I14">
        <f t="shared" si="1"/>
        <v>4.8</v>
      </c>
      <c r="J14">
        <f>I14</f>
        <v>4.8</v>
      </c>
      <c r="K14" s="10">
        <f>K12</f>
        <v>0.309</v>
      </c>
      <c r="L14" s="12">
        <f t="shared" si="2"/>
        <v>15.533980582524272</v>
      </c>
      <c r="M14">
        <f>IFERROR(J14/0.012, " ")</f>
        <v>400</v>
      </c>
    </row>
    <row r="15" spans="2:21" s="8" customFormat="1" x14ac:dyDescent="0.2">
      <c r="B15" s="8" t="s">
        <v>9</v>
      </c>
      <c r="C15" s="8" t="s">
        <v>40</v>
      </c>
      <c r="D15" s="8" t="s">
        <v>41</v>
      </c>
      <c r="E15" s="8" t="s">
        <v>55</v>
      </c>
      <c r="F15" s="8">
        <v>60</v>
      </c>
      <c r="G15" s="8">
        <f t="shared" si="0"/>
        <v>1.2</v>
      </c>
      <c r="H15" s="8">
        <v>4</v>
      </c>
      <c r="I15" s="8">
        <f t="shared" si="1"/>
        <v>4.8</v>
      </c>
      <c r="J15" s="8">
        <f>I15*5+3</f>
        <v>27</v>
      </c>
      <c r="K15" s="9">
        <f>Fines_removal!D5</f>
        <v>0.29899999999999999</v>
      </c>
      <c r="L15" s="11">
        <f t="shared" si="2"/>
        <v>90.301003344481614</v>
      </c>
      <c r="M15" s="8">
        <v>2250</v>
      </c>
      <c r="N15" s="8">
        <v>9030</v>
      </c>
      <c r="O15" s="13">
        <f>J15/N15</f>
        <v>2.990033222591362E-3</v>
      </c>
      <c r="P15" s="8">
        <v>500</v>
      </c>
      <c r="Q15" s="8">
        <v>28</v>
      </c>
      <c r="R15" s="8">
        <v>3.0670000000000002</v>
      </c>
      <c r="S15" s="13">
        <f>R15/1000</f>
        <v>3.0670000000000003E-3</v>
      </c>
      <c r="U15" s="8">
        <f>1.2/S15</f>
        <v>391.26181936746002</v>
      </c>
    </row>
    <row r="16" spans="2:21" s="8" customFormat="1" x14ac:dyDescent="0.2">
      <c r="B16" s="8" t="s">
        <v>9</v>
      </c>
      <c r="C16" s="8" t="s">
        <v>42</v>
      </c>
      <c r="D16" s="8" t="s">
        <v>41</v>
      </c>
      <c r="E16" s="8" t="s">
        <v>56</v>
      </c>
      <c r="F16" s="8">
        <v>60</v>
      </c>
      <c r="G16" s="8">
        <f t="shared" si="0"/>
        <v>1.2</v>
      </c>
      <c r="H16" s="8">
        <v>4</v>
      </c>
      <c r="I16" s="8">
        <f t="shared" si="1"/>
        <v>4.8</v>
      </c>
      <c r="K16" s="9"/>
      <c r="L16" s="11" t="str">
        <f t="shared" si="2"/>
        <v xml:space="preserve"> </v>
      </c>
    </row>
    <row r="17" spans="2:21" x14ac:dyDescent="0.2">
      <c r="B17" t="s">
        <v>9</v>
      </c>
      <c r="C17" t="s">
        <v>43</v>
      </c>
      <c r="D17" t="s">
        <v>41</v>
      </c>
      <c r="E17" t="s">
        <v>57</v>
      </c>
      <c r="F17">
        <v>60</v>
      </c>
      <c r="G17">
        <f t="shared" si="0"/>
        <v>1.2</v>
      </c>
      <c r="H17">
        <v>4</v>
      </c>
      <c r="I17">
        <f t="shared" si="1"/>
        <v>4.8</v>
      </c>
      <c r="J17">
        <f>I17</f>
        <v>4.8</v>
      </c>
      <c r="K17" s="10">
        <f>K15</f>
        <v>0.29899999999999999</v>
      </c>
      <c r="L17" s="12">
        <f t="shared" si="2"/>
        <v>16.053511705685619</v>
      </c>
      <c r="M17">
        <f>IFERROR(J17/0.012, " ")</f>
        <v>400</v>
      </c>
    </row>
    <row r="18" spans="2:21" s="8" customFormat="1" x14ac:dyDescent="0.2">
      <c r="B18" s="8" t="s">
        <v>9</v>
      </c>
      <c r="C18" s="8" t="s">
        <v>40</v>
      </c>
      <c r="D18" s="8" t="s">
        <v>45</v>
      </c>
      <c r="E18" s="8" t="s">
        <v>58</v>
      </c>
      <c r="F18" s="8">
        <v>60</v>
      </c>
      <c r="G18" s="8">
        <f t="shared" si="0"/>
        <v>1.2</v>
      </c>
      <c r="H18" s="8">
        <v>4</v>
      </c>
      <c r="I18" s="8">
        <f t="shared" si="1"/>
        <v>4.8</v>
      </c>
      <c r="J18" s="8">
        <f>I18*5+3</f>
        <v>27</v>
      </c>
      <c r="K18" s="9">
        <f>Fines_removal!J5</f>
        <v>0.27779999999999999</v>
      </c>
      <c r="L18" s="11">
        <f t="shared" si="2"/>
        <v>97.192224622030238</v>
      </c>
      <c r="M18" s="8">
        <v>2250</v>
      </c>
      <c r="N18" s="8">
        <v>9240</v>
      </c>
      <c r="O18" s="13">
        <f>J18/N18</f>
        <v>2.9220779220779222E-3</v>
      </c>
      <c r="P18" s="8">
        <v>600</v>
      </c>
      <c r="Q18" s="8">
        <v>29</v>
      </c>
      <c r="R18" s="8">
        <v>2.9940000000000002</v>
      </c>
      <c r="S18" s="13">
        <f>R18/1000</f>
        <v>2.9940000000000001E-3</v>
      </c>
      <c r="U18" s="8">
        <f>1.2/S18</f>
        <v>400.80160320641278</v>
      </c>
    </row>
    <row r="19" spans="2:21" s="8" customFormat="1" x14ac:dyDescent="0.2">
      <c r="B19" s="8" t="s">
        <v>9</v>
      </c>
      <c r="C19" s="8" t="s">
        <v>42</v>
      </c>
      <c r="D19" s="8" t="s">
        <v>45</v>
      </c>
      <c r="E19" s="8" t="s">
        <v>59</v>
      </c>
      <c r="F19" s="8">
        <v>60</v>
      </c>
      <c r="G19" s="8">
        <f t="shared" si="0"/>
        <v>1.2</v>
      </c>
      <c r="H19" s="8">
        <v>4</v>
      </c>
      <c r="I19" s="8">
        <f t="shared" si="1"/>
        <v>4.8</v>
      </c>
      <c r="K19" s="9"/>
      <c r="L19" s="11" t="str">
        <f t="shared" si="2"/>
        <v xml:space="preserve"> </v>
      </c>
    </row>
    <row r="20" spans="2:21" x14ac:dyDescent="0.2">
      <c r="B20" t="s">
        <v>9</v>
      </c>
      <c r="C20" t="s">
        <v>43</v>
      </c>
      <c r="D20" t="s">
        <v>45</v>
      </c>
      <c r="E20" t="s">
        <v>60</v>
      </c>
      <c r="F20">
        <v>60</v>
      </c>
      <c r="G20">
        <f t="shared" si="0"/>
        <v>1.2</v>
      </c>
      <c r="H20">
        <v>4</v>
      </c>
      <c r="I20">
        <f t="shared" si="1"/>
        <v>4.8</v>
      </c>
      <c r="J20">
        <f>I20</f>
        <v>4.8</v>
      </c>
      <c r="K20" s="10">
        <f>K18</f>
        <v>0.27779999999999999</v>
      </c>
      <c r="L20" s="12">
        <f t="shared" si="2"/>
        <v>17.278617710583152</v>
      </c>
      <c r="M20">
        <f>IFERROR(J20/0.012, " ")</f>
        <v>400</v>
      </c>
    </row>
    <row r="21" spans="2:21" s="8" customFormat="1" x14ac:dyDescent="0.2">
      <c r="B21" s="8" t="s">
        <v>10</v>
      </c>
      <c r="C21" s="8" t="s">
        <v>40</v>
      </c>
      <c r="D21" s="8" t="s">
        <v>41</v>
      </c>
      <c r="E21" s="8" t="s">
        <v>61</v>
      </c>
      <c r="F21" s="8">
        <v>60</v>
      </c>
      <c r="G21" s="8">
        <f t="shared" si="0"/>
        <v>1.2</v>
      </c>
      <c r="H21" s="8">
        <v>4</v>
      </c>
      <c r="I21" s="8">
        <f t="shared" si="1"/>
        <v>4.8</v>
      </c>
      <c r="J21" s="8">
        <f>I21*5+3</f>
        <v>27</v>
      </c>
      <c r="K21" s="9">
        <f>Fines_removal!D6</f>
        <v>0.30509999999999998</v>
      </c>
      <c r="L21" s="11">
        <f t="shared" si="2"/>
        <v>88.495575221238937</v>
      </c>
      <c r="M21" s="8">
        <v>2250</v>
      </c>
      <c r="N21" s="8">
        <v>9004</v>
      </c>
      <c r="O21" s="13">
        <f>J21/N21</f>
        <v>2.9986672589960017E-3</v>
      </c>
      <c r="P21" s="8">
        <v>600</v>
      </c>
      <c r="Q21" s="8">
        <v>28</v>
      </c>
      <c r="R21" s="8">
        <v>3.0939999999999999</v>
      </c>
      <c r="S21" s="13">
        <f>R21/1000</f>
        <v>3.094E-3</v>
      </c>
      <c r="U21" s="8">
        <f>1.2/S21</f>
        <v>387.84744667097607</v>
      </c>
    </row>
    <row r="22" spans="2:21" s="8" customFormat="1" x14ac:dyDescent="0.2">
      <c r="B22" s="8" t="s">
        <v>10</v>
      </c>
      <c r="C22" s="8" t="s">
        <v>42</v>
      </c>
      <c r="D22" s="8" t="s">
        <v>41</v>
      </c>
      <c r="E22" s="8" t="s">
        <v>62</v>
      </c>
      <c r="F22" s="8">
        <v>60</v>
      </c>
      <c r="G22" s="8">
        <f t="shared" si="0"/>
        <v>1.2</v>
      </c>
      <c r="H22" s="8">
        <v>4</v>
      </c>
      <c r="I22" s="8">
        <f t="shared" si="1"/>
        <v>4.8</v>
      </c>
      <c r="K22" s="9"/>
      <c r="L22" s="11" t="str">
        <f t="shared" si="2"/>
        <v xml:space="preserve"> </v>
      </c>
    </row>
    <row r="23" spans="2:21" x14ac:dyDescent="0.2">
      <c r="B23" t="s">
        <v>10</v>
      </c>
      <c r="C23" t="s">
        <v>43</v>
      </c>
      <c r="D23" t="s">
        <v>41</v>
      </c>
      <c r="E23" t="s">
        <v>63</v>
      </c>
      <c r="F23">
        <v>60</v>
      </c>
      <c r="G23">
        <f t="shared" si="0"/>
        <v>1.2</v>
      </c>
      <c r="H23">
        <v>4</v>
      </c>
      <c r="I23">
        <f t="shared" si="1"/>
        <v>4.8</v>
      </c>
      <c r="J23">
        <f>I23</f>
        <v>4.8</v>
      </c>
      <c r="K23" s="10">
        <f>K21</f>
        <v>0.30509999999999998</v>
      </c>
      <c r="L23" s="12">
        <f t="shared" si="2"/>
        <v>15.732546705998034</v>
      </c>
      <c r="M23">
        <f>IFERROR(J23/0.012, " ")</f>
        <v>400</v>
      </c>
    </row>
    <row r="24" spans="2:21" s="8" customFormat="1" x14ac:dyDescent="0.2">
      <c r="B24" s="8" t="s">
        <v>10</v>
      </c>
      <c r="C24" s="8" t="s">
        <v>40</v>
      </c>
      <c r="D24" s="8" t="s">
        <v>45</v>
      </c>
      <c r="E24" s="8" t="s">
        <v>64</v>
      </c>
      <c r="F24" s="8">
        <v>60</v>
      </c>
      <c r="G24" s="8">
        <f t="shared" si="0"/>
        <v>1.2</v>
      </c>
      <c r="H24" s="8">
        <v>4</v>
      </c>
      <c r="I24" s="8">
        <f t="shared" si="1"/>
        <v>4.8</v>
      </c>
      <c r="J24" s="8">
        <f>I24*5+3</f>
        <v>27</v>
      </c>
      <c r="K24" s="9">
        <f>Fines_removal!J6</f>
        <v>0.28120000000000001</v>
      </c>
      <c r="L24" s="11">
        <f t="shared" si="2"/>
        <v>96.017069701280221</v>
      </c>
      <c r="M24" s="8">
        <v>2250</v>
      </c>
      <c r="N24" s="8">
        <v>9069</v>
      </c>
      <c r="O24" s="13">
        <f>J24/N24</f>
        <v>2.9771749917300696E-3</v>
      </c>
      <c r="P24" s="8">
        <v>670</v>
      </c>
      <c r="Q24" s="8">
        <v>30</v>
      </c>
      <c r="R24" s="8">
        <v>2.8719999999999999</v>
      </c>
      <c r="S24" s="13">
        <f>R24/1000</f>
        <v>2.872E-3</v>
      </c>
      <c r="U24" s="8">
        <f>1.2/S24</f>
        <v>417.82729805013923</v>
      </c>
    </row>
    <row r="25" spans="2:21" s="8" customFormat="1" x14ac:dyDescent="0.2">
      <c r="B25" s="8" t="s">
        <v>10</v>
      </c>
      <c r="C25" s="8" t="s">
        <v>42</v>
      </c>
      <c r="D25" s="8" t="s">
        <v>45</v>
      </c>
      <c r="E25" s="8" t="s">
        <v>65</v>
      </c>
      <c r="F25" s="8">
        <v>60</v>
      </c>
      <c r="G25" s="8">
        <f t="shared" si="0"/>
        <v>1.2</v>
      </c>
      <c r="H25" s="8">
        <v>4</v>
      </c>
      <c r="I25" s="8">
        <f t="shared" si="1"/>
        <v>4.8</v>
      </c>
      <c r="K25" s="9"/>
      <c r="L25" s="11" t="str">
        <f t="shared" si="2"/>
        <v xml:space="preserve"> </v>
      </c>
    </row>
    <row r="26" spans="2:21" x14ac:dyDescent="0.2">
      <c r="B26" t="s">
        <v>10</v>
      </c>
      <c r="C26" t="s">
        <v>43</v>
      </c>
      <c r="D26" t="s">
        <v>45</v>
      </c>
      <c r="E26" t="s">
        <v>66</v>
      </c>
      <c r="F26">
        <v>60</v>
      </c>
      <c r="G26">
        <f t="shared" si="0"/>
        <v>1.2</v>
      </c>
      <c r="H26">
        <v>4</v>
      </c>
      <c r="I26">
        <f t="shared" si="1"/>
        <v>4.8</v>
      </c>
      <c r="J26">
        <f>I26</f>
        <v>4.8</v>
      </c>
      <c r="K26" s="10">
        <f>K24</f>
        <v>0.28120000000000001</v>
      </c>
      <c r="L26" s="12">
        <f t="shared" si="2"/>
        <v>17.069701280227594</v>
      </c>
      <c r="M26">
        <f>IFERROR(J26/0.012, " ")</f>
        <v>400</v>
      </c>
    </row>
    <row r="27" spans="2:21" s="8" customFormat="1" x14ac:dyDescent="0.2">
      <c r="B27" s="8" t="s">
        <v>11</v>
      </c>
      <c r="C27" s="8" t="s">
        <v>40</v>
      </c>
      <c r="D27" s="8" t="s">
        <v>41</v>
      </c>
      <c r="E27" s="8" t="s">
        <v>67</v>
      </c>
      <c r="F27" s="8">
        <v>60</v>
      </c>
      <c r="G27" s="8">
        <f t="shared" si="0"/>
        <v>1.2</v>
      </c>
      <c r="H27" s="8">
        <v>4</v>
      </c>
      <c r="I27" s="8">
        <f t="shared" si="1"/>
        <v>4.8</v>
      </c>
      <c r="J27" s="8">
        <f>I27*5+3</f>
        <v>27</v>
      </c>
      <c r="K27" s="9">
        <f>Fines_removal!D7</f>
        <v>0.29959999999999998</v>
      </c>
      <c r="L27" s="11">
        <f t="shared" si="2"/>
        <v>90.120160213618163</v>
      </c>
      <c r="M27" s="8">
        <v>2250</v>
      </c>
      <c r="N27" s="8">
        <v>9022</v>
      </c>
      <c r="O27" s="13">
        <f>J27/N27</f>
        <v>2.9926845488805142E-3</v>
      </c>
      <c r="P27" s="8">
        <v>610</v>
      </c>
      <c r="Q27" s="8">
        <v>30</v>
      </c>
      <c r="R27" s="8">
        <v>3.0750000000000002</v>
      </c>
      <c r="S27" s="13">
        <f>R27/1000</f>
        <v>3.075E-3</v>
      </c>
      <c r="U27" s="8">
        <f>1.2/S27</f>
        <v>390.2439024390244</v>
      </c>
    </row>
    <row r="28" spans="2:21" s="8" customFormat="1" x14ac:dyDescent="0.2">
      <c r="B28" s="8" t="s">
        <v>11</v>
      </c>
      <c r="C28" s="8" t="s">
        <v>42</v>
      </c>
      <c r="D28" s="8" t="s">
        <v>41</v>
      </c>
      <c r="E28" s="8" t="s">
        <v>68</v>
      </c>
      <c r="F28" s="8">
        <v>60</v>
      </c>
      <c r="G28" s="8">
        <f t="shared" si="0"/>
        <v>1.2</v>
      </c>
      <c r="H28" s="8">
        <v>4</v>
      </c>
      <c r="I28" s="8">
        <f t="shared" si="1"/>
        <v>4.8</v>
      </c>
      <c r="K28" s="9"/>
      <c r="L28" s="11" t="str">
        <f t="shared" si="2"/>
        <v xml:space="preserve"> </v>
      </c>
    </row>
    <row r="29" spans="2:21" x14ac:dyDescent="0.2">
      <c r="B29" t="s">
        <v>11</v>
      </c>
      <c r="C29" t="s">
        <v>43</v>
      </c>
      <c r="D29" t="s">
        <v>41</v>
      </c>
      <c r="E29" t="s">
        <v>69</v>
      </c>
      <c r="F29">
        <v>60</v>
      </c>
      <c r="G29">
        <f t="shared" si="0"/>
        <v>1.2</v>
      </c>
      <c r="H29">
        <v>4</v>
      </c>
      <c r="I29">
        <f t="shared" si="1"/>
        <v>4.8</v>
      </c>
      <c r="J29">
        <f>I29</f>
        <v>4.8</v>
      </c>
      <c r="K29" s="10">
        <f>K27</f>
        <v>0.29959999999999998</v>
      </c>
      <c r="L29" s="12">
        <f t="shared" si="2"/>
        <v>16.021361815754339</v>
      </c>
      <c r="M29">
        <f>IFERROR(J29/0.012, " ")</f>
        <v>400</v>
      </c>
    </row>
    <row r="30" spans="2:21" s="8" customFormat="1" x14ac:dyDescent="0.2">
      <c r="B30" s="8" t="s">
        <v>11</v>
      </c>
      <c r="C30" s="8" t="s">
        <v>40</v>
      </c>
      <c r="D30" s="8" t="s">
        <v>45</v>
      </c>
      <c r="E30" s="8" t="s">
        <v>70</v>
      </c>
      <c r="F30" s="8">
        <v>60</v>
      </c>
      <c r="G30" s="8">
        <f t="shared" si="0"/>
        <v>1.2</v>
      </c>
      <c r="H30" s="8">
        <v>4</v>
      </c>
      <c r="I30" s="8">
        <f t="shared" si="1"/>
        <v>4.8</v>
      </c>
      <c r="J30" s="8">
        <f>I30*5+3</f>
        <v>27</v>
      </c>
      <c r="K30" s="9">
        <f>Fines_removal!J7</f>
        <v>0.29220000000000002</v>
      </c>
      <c r="L30" s="11">
        <f t="shared" si="2"/>
        <v>92.402464065708415</v>
      </c>
      <c r="M30" s="8">
        <v>2250</v>
      </c>
      <c r="N30" s="8">
        <v>8984</v>
      </c>
      <c r="O30" s="13">
        <f>J30/N30</f>
        <v>3.0053428317008014E-3</v>
      </c>
      <c r="P30" s="8">
        <v>690</v>
      </c>
      <c r="Q30" s="8">
        <v>31</v>
      </c>
      <c r="R30" s="8">
        <v>2.706</v>
      </c>
      <c r="S30" s="13">
        <f>R30/1000</f>
        <v>2.7060000000000001E-3</v>
      </c>
      <c r="U30" s="8">
        <f>1.2/S30</f>
        <v>443.45898004434588</v>
      </c>
    </row>
    <row r="31" spans="2:21" s="8" customFormat="1" x14ac:dyDescent="0.2">
      <c r="B31" s="8" t="s">
        <v>11</v>
      </c>
      <c r="C31" s="8" t="s">
        <v>42</v>
      </c>
      <c r="D31" s="8" t="s">
        <v>45</v>
      </c>
      <c r="E31" s="8" t="s">
        <v>71</v>
      </c>
      <c r="F31" s="8">
        <v>60</v>
      </c>
      <c r="G31" s="8">
        <f t="shared" si="0"/>
        <v>1.2</v>
      </c>
      <c r="H31" s="8">
        <v>4</v>
      </c>
      <c r="I31" s="8">
        <f t="shared" si="1"/>
        <v>4.8</v>
      </c>
      <c r="K31" s="9"/>
      <c r="L31" s="11" t="str">
        <f t="shared" si="2"/>
        <v xml:space="preserve"> </v>
      </c>
    </row>
    <row r="32" spans="2:21" x14ac:dyDescent="0.2">
      <c r="B32" t="s">
        <v>11</v>
      </c>
      <c r="C32" t="s">
        <v>43</v>
      </c>
      <c r="D32" t="s">
        <v>45</v>
      </c>
      <c r="E32" t="s">
        <v>72</v>
      </c>
      <c r="F32">
        <v>60</v>
      </c>
      <c r="G32">
        <f t="shared" si="0"/>
        <v>1.2</v>
      </c>
      <c r="H32">
        <v>4</v>
      </c>
      <c r="I32">
        <f t="shared" si="1"/>
        <v>4.8</v>
      </c>
      <c r="J32">
        <f>I32</f>
        <v>4.8</v>
      </c>
      <c r="K32" s="10">
        <f>K30</f>
        <v>0.29220000000000002</v>
      </c>
      <c r="L32" s="12">
        <f t="shared" si="2"/>
        <v>16.427104722792606</v>
      </c>
      <c r="M32">
        <f>IFERROR(J32/0.012, " ")</f>
        <v>400</v>
      </c>
    </row>
    <row r="33" spans="2:21" s="8" customFormat="1" x14ac:dyDescent="0.2">
      <c r="B33" s="8" t="s">
        <v>12</v>
      </c>
      <c r="C33" s="8" t="s">
        <v>40</v>
      </c>
      <c r="D33" s="8" t="s">
        <v>41</v>
      </c>
      <c r="E33" s="8" t="s">
        <v>73</v>
      </c>
      <c r="F33" s="8">
        <v>60</v>
      </c>
      <c r="G33" s="8">
        <f t="shared" si="0"/>
        <v>1.2</v>
      </c>
      <c r="H33" s="8">
        <v>4</v>
      </c>
      <c r="I33" s="8">
        <f t="shared" si="1"/>
        <v>4.8</v>
      </c>
      <c r="J33" s="8">
        <f>I33*5+3</f>
        <v>27</v>
      </c>
      <c r="K33" s="9">
        <f>Fines_removal!D8</f>
        <v>0.30520000000000003</v>
      </c>
      <c r="L33" s="11">
        <f t="shared" si="2"/>
        <v>88.466579292267355</v>
      </c>
      <c r="M33" s="8">
        <v>2250</v>
      </c>
      <c r="N33" s="8">
        <v>9037</v>
      </c>
      <c r="O33" s="13">
        <f>J33/N33</f>
        <v>2.9877171627752572E-3</v>
      </c>
      <c r="P33" s="8">
        <v>630</v>
      </c>
      <c r="Q33" s="8">
        <v>30</v>
      </c>
      <c r="R33" s="8">
        <v>3.1429999999999998</v>
      </c>
      <c r="S33" s="13">
        <f>R33/1000</f>
        <v>3.143E-3</v>
      </c>
      <c r="U33" s="8">
        <f>1.2/S33</f>
        <v>381.80082723512567</v>
      </c>
    </row>
    <row r="34" spans="2:21" s="8" customFormat="1" x14ac:dyDescent="0.2">
      <c r="B34" s="8" t="s">
        <v>12</v>
      </c>
      <c r="C34" s="8" t="s">
        <v>42</v>
      </c>
      <c r="D34" s="8" t="s">
        <v>41</v>
      </c>
      <c r="E34" s="8" t="s">
        <v>74</v>
      </c>
      <c r="F34" s="8">
        <v>60</v>
      </c>
      <c r="G34" s="8">
        <f t="shared" si="0"/>
        <v>1.2</v>
      </c>
      <c r="H34" s="8">
        <v>4</v>
      </c>
      <c r="I34" s="8">
        <f t="shared" si="1"/>
        <v>4.8</v>
      </c>
      <c r="K34" s="9"/>
      <c r="L34" s="11" t="str">
        <f t="shared" si="2"/>
        <v xml:space="preserve"> </v>
      </c>
    </row>
    <row r="35" spans="2:21" x14ac:dyDescent="0.2">
      <c r="B35" t="s">
        <v>12</v>
      </c>
      <c r="C35" t="s">
        <v>43</v>
      </c>
      <c r="D35" t="s">
        <v>41</v>
      </c>
      <c r="E35" t="s">
        <v>75</v>
      </c>
      <c r="F35">
        <v>60</v>
      </c>
      <c r="G35">
        <f t="shared" si="0"/>
        <v>1.2</v>
      </c>
      <c r="H35">
        <v>4</v>
      </c>
      <c r="I35">
        <f t="shared" si="1"/>
        <v>4.8</v>
      </c>
      <c r="J35">
        <f>I35</f>
        <v>4.8</v>
      </c>
      <c r="K35" s="10">
        <f>K33</f>
        <v>0.30520000000000003</v>
      </c>
      <c r="L35" s="12">
        <f t="shared" si="2"/>
        <v>15.727391874180864</v>
      </c>
      <c r="M35">
        <f>IFERROR(J35/0.012, " ")</f>
        <v>400</v>
      </c>
    </row>
    <row r="36" spans="2:21" s="8" customFormat="1" x14ac:dyDescent="0.2">
      <c r="B36" s="8" t="s">
        <v>12</v>
      </c>
      <c r="C36" s="8" t="s">
        <v>40</v>
      </c>
      <c r="D36" s="8" t="s">
        <v>45</v>
      </c>
      <c r="E36" s="8" t="s">
        <v>76</v>
      </c>
      <c r="F36" s="8">
        <v>60</v>
      </c>
      <c r="G36" s="8">
        <f t="shared" si="0"/>
        <v>1.2</v>
      </c>
      <c r="H36" s="8">
        <v>4</v>
      </c>
      <c r="I36" s="8">
        <f t="shared" si="1"/>
        <v>4.8</v>
      </c>
      <c r="J36" s="8">
        <f>I36*5+3</f>
        <v>27</v>
      </c>
      <c r="K36" s="9">
        <f>Fines_removal!J8</f>
        <v>0.2959</v>
      </c>
      <c r="L36" s="11">
        <f t="shared" si="2"/>
        <v>91.247042919905368</v>
      </c>
      <c r="M36" s="8">
        <v>2250</v>
      </c>
      <c r="N36" s="8">
        <v>8978</v>
      </c>
      <c r="O36" s="13">
        <f>J36/N36</f>
        <v>3.0073513031855649E-3</v>
      </c>
      <c r="P36" s="8">
        <v>685</v>
      </c>
      <c r="Q36" s="8">
        <v>30</v>
      </c>
      <c r="R36" s="8">
        <v>2.8050000000000002</v>
      </c>
      <c r="S36" s="13">
        <f>R36/1000</f>
        <v>2.8050000000000002E-3</v>
      </c>
      <c r="U36" s="8">
        <f>1.2/S36</f>
        <v>427.80748663101599</v>
      </c>
    </row>
    <row r="37" spans="2:21" s="8" customFormat="1" x14ac:dyDescent="0.2">
      <c r="B37" s="8" t="s">
        <v>12</v>
      </c>
      <c r="C37" s="8" t="s">
        <v>42</v>
      </c>
      <c r="D37" s="8" t="s">
        <v>45</v>
      </c>
      <c r="E37" s="8" t="s">
        <v>77</v>
      </c>
      <c r="F37" s="8">
        <v>60</v>
      </c>
      <c r="G37" s="8">
        <f t="shared" si="0"/>
        <v>1.2</v>
      </c>
      <c r="H37" s="8">
        <v>4</v>
      </c>
      <c r="I37" s="8">
        <f t="shared" si="1"/>
        <v>4.8</v>
      </c>
      <c r="K37" s="9"/>
      <c r="L37" s="11" t="str">
        <f t="shared" si="2"/>
        <v xml:space="preserve"> </v>
      </c>
    </row>
    <row r="38" spans="2:21" x14ac:dyDescent="0.2">
      <c r="B38" t="s">
        <v>12</v>
      </c>
      <c r="C38" t="s">
        <v>43</v>
      </c>
      <c r="D38" t="s">
        <v>45</v>
      </c>
      <c r="E38" t="s">
        <v>78</v>
      </c>
      <c r="F38">
        <v>60</v>
      </c>
      <c r="G38">
        <f t="shared" si="0"/>
        <v>1.2</v>
      </c>
      <c r="H38">
        <v>4</v>
      </c>
      <c r="I38">
        <f t="shared" si="1"/>
        <v>4.8</v>
      </c>
      <c r="J38">
        <f>I38</f>
        <v>4.8</v>
      </c>
      <c r="K38" s="10">
        <f>K36</f>
        <v>0.2959</v>
      </c>
      <c r="L38" s="12">
        <f t="shared" si="2"/>
        <v>16.221696519094287</v>
      </c>
      <c r="M38">
        <f>IFERROR(J38/0.012, " ")</f>
        <v>400</v>
      </c>
    </row>
    <row r="39" spans="2:21" x14ac:dyDescent="0.2">
      <c r="I39">
        <f>SUM(I3:I35)</f>
        <v>158.40000000000003</v>
      </c>
    </row>
    <row r="40" spans="2:21" x14ac:dyDescent="0.2">
      <c r="B40" s="14" t="s">
        <v>79</v>
      </c>
    </row>
    <row r="41" spans="2:21" x14ac:dyDescent="0.2">
      <c r="B41" s="14" t="s">
        <v>80</v>
      </c>
      <c r="C41">
        <f>G5</f>
        <v>1.2</v>
      </c>
      <c r="D41" t="s">
        <v>81</v>
      </c>
    </row>
    <row r="42" spans="2:21" x14ac:dyDescent="0.2">
      <c r="B42" s="14" t="s">
        <v>82</v>
      </c>
      <c r="C42">
        <v>0.1</v>
      </c>
      <c r="D42" t="s">
        <v>83</v>
      </c>
    </row>
    <row r="43" spans="2:21" x14ac:dyDescent="0.2">
      <c r="B43" s="14" t="s">
        <v>84</v>
      </c>
      <c r="C43">
        <v>100.319</v>
      </c>
      <c r="D43" t="s">
        <v>85</v>
      </c>
    </row>
    <row r="44" spans="2:21" x14ac:dyDescent="0.2">
      <c r="B44" s="14" t="s">
        <v>86</v>
      </c>
      <c r="C44">
        <f>C42/(C43+C42)</f>
        <v>9.9582748284687177E-4</v>
      </c>
      <c r="D44" t="s">
        <v>87</v>
      </c>
    </row>
    <row r="45" spans="2:21" x14ac:dyDescent="0.2">
      <c r="B45" s="14" t="s">
        <v>88</v>
      </c>
      <c r="C45">
        <v>1E-3</v>
      </c>
      <c r="D45" t="s">
        <v>89</v>
      </c>
    </row>
    <row r="46" spans="2:21" x14ac:dyDescent="0.2">
      <c r="B46" s="14" t="s">
        <v>90</v>
      </c>
      <c r="C46">
        <f>C41*C45/C44</f>
        <v>1.2050279999999998</v>
      </c>
      <c r="D46" t="s">
        <v>91</v>
      </c>
    </row>
    <row r="47" spans="2:21" x14ac:dyDescent="0.2">
      <c r="B47" s="14"/>
    </row>
    <row r="48" spans="2:21" x14ac:dyDescent="0.2">
      <c r="C48" t="s">
        <v>92</v>
      </c>
      <c r="D48" t="s">
        <v>93</v>
      </c>
    </row>
    <row r="49" spans="2:4" x14ac:dyDescent="0.2">
      <c r="C49">
        <v>1</v>
      </c>
      <c r="D49">
        <v>1.016</v>
      </c>
    </row>
    <row r="50" spans="2:4" x14ac:dyDescent="0.2">
      <c r="C50">
        <v>2</v>
      </c>
      <c r="D50">
        <v>2.0430000000000001</v>
      </c>
    </row>
    <row r="51" spans="2:4" x14ac:dyDescent="0.2">
      <c r="C51">
        <v>3.5</v>
      </c>
      <c r="D51">
        <v>3.5579999999999998</v>
      </c>
    </row>
    <row r="52" spans="2:4" x14ac:dyDescent="0.2">
      <c r="C52">
        <v>5</v>
      </c>
      <c r="D52">
        <v>5.0830000000000002</v>
      </c>
    </row>
    <row r="54" spans="2:4" x14ac:dyDescent="0.2">
      <c r="B54" t="s">
        <v>94</v>
      </c>
      <c r="C54">
        <v>1.0158</v>
      </c>
    </row>
    <row r="55" spans="2:4" x14ac:dyDescent="0.2">
      <c r="B55" t="s">
        <v>95</v>
      </c>
      <c r="C55">
        <v>4.5999999999999999E-3</v>
      </c>
    </row>
    <row r="56" spans="2:4" x14ac:dyDescent="0.2">
      <c r="B56" t="s">
        <v>92</v>
      </c>
      <c r="C56">
        <v>5</v>
      </c>
    </row>
    <row r="57" spans="2:4" x14ac:dyDescent="0.2">
      <c r="B57" t="s">
        <v>93</v>
      </c>
      <c r="C57">
        <f>C54*C56+C55</f>
        <v>5.0836000000000006</v>
      </c>
    </row>
    <row r="59" spans="2:4" x14ac:dyDescent="0.2">
      <c r="B59" s="15" t="s">
        <v>96</v>
      </c>
      <c r="C59" s="15">
        <f>(C60-C55)/C54</f>
        <v>1.1817562512305571</v>
      </c>
    </row>
    <row r="60" spans="2:4" x14ac:dyDescent="0.2">
      <c r="B60" s="15" t="s">
        <v>93</v>
      </c>
      <c r="C60" s="15">
        <f>C46</f>
        <v>1.2050279999999998</v>
      </c>
    </row>
    <row r="62" spans="2:4" x14ac:dyDescent="0.2">
      <c r="C62">
        <v>3</v>
      </c>
      <c r="D62" t="s">
        <v>97</v>
      </c>
    </row>
    <row r="63" spans="2:4" x14ac:dyDescent="0.2">
      <c r="C63">
        <v>1.2</v>
      </c>
      <c r="D63" t="s">
        <v>98</v>
      </c>
    </row>
    <row r="64" spans="2:4" x14ac:dyDescent="0.2">
      <c r="C64">
        <f>C63/C62</f>
        <v>0.39999999999999997</v>
      </c>
      <c r="D64" t="s">
        <v>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2978-1026-4E04-841C-1122319E95C7}">
  <dimension ref="A1:L14"/>
  <sheetViews>
    <sheetView topLeftCell="C1" workbookViewId="0">
      <selection activeCell="G35" sqref="G34:G35"/>
    </sheetView>
  </sheetViews>
  <sheetFormatPr defaultRowHeight="14.25" x14ac:dyDescent="0.2"/>
  <cols>
    <col min="7" max="7" width="14.375" bestFit="1" customWidth="1"/>
    <col min="8" max="8" width="17.75" bestFit="1" customWidth="1"/>
    <col min="9" max="9" width="17.25" bestFit="1" customWidth="1"/>
    <col min="10" max="10" width="17.75" bestFit="1" customWidth="1"/>
    <col min="11" max="11" width="17.875" bestFit="1" customWidth="1"/>
    <col min="12" max="12" width="18.5" bestFit="1" customWidth="1"/>
  </cols>
  <sheetData>
    <row r="1" spans="1:12" x14ac:dyDescent="0.2">
      <c r="C1" t="s">
        <v>16</v>
      </c>
      <c r="D1" t="s">
        <v>22</v>
      </c>
      <c r="E1" t="s">
        <v>100</v>
      </c>
      <c r="F1" t="s">
        <v>86</v>
      </c>
      <c r="G1" t="s">
        <v>101</v>
      </c>
      <c r="H1" t="s">
        <v>102</v>
      </c>
      <c r="I1" t="s">
        <v>103</v>
      </c>
      <c r="J1" t="s">
        <v>104</v>
      </c>
    </row>
    <row r="2" spans="1:12" x14ac:dyDescent="0.2">
      <c r="A2" t="s">
        <v>1</v>
      </c>
      <c r="B2" t="s">
        <v>21</v>
      </c>
      <c r="C2" s="4">
        <f>AVERAGE(0.2734, 0.2829, 0.2827)</f>
        <v>0.27966666666666667</v>
      </c>
      <c r="D2">
        <f t="shared" ref="D2:D13" si="0">C2*B3</f>
        <v>2.5897133333333336E-2</v>
      </c>
      <c r="E2">
        <v>5014.8999999999996</v>
      </c>
      <c r="F2">
        <f t="shared" ref="F2:F13" si="1">D2/E2</f>
        <v>5.1640378339215815E-6</v>
      </c>
      <c r="G2">
        <v>428.4</v>
      </c>
      <c r="H2">
        <f t="shared" ref="H2:H12" si="2">G2*F2*1000</f>
        <v>2.2122738080520055</v>
      </c>
      <c r="I2">
        <v>405.8</v>
      </c>
      <c r="J2">
        <f t="shared" ref="J2:J13" si="3">I2*F2*1000</f>
        <v>2.0955665530053778</v>
      </c>
      <c r="K2" t="s">
        <v>105</v>
      </c>
      <c r="L2" t="s">
        <v>106</v>
      </c>
    </row>
    <row r="3" spans="1:12" x14ac:dyDescent="0.2">
      <c r="A3" t="s">
        <v>107</v>
      </c>
      <c r="B3">
        <v>9.2600000000000002E-2</v>
      </c>
      <c r="C3" s="4">
        <f>AVERAGE(0.2974, 0.295)</f>
        <v>0.29620000000000002</v>
      </c>
      <c r="D3">
        <f t="shared" si="0"/>
        <v>2.393296E-2</v>
      </c>
      <c r="E3">
        <v>5001.3999999999996</v>
      </c>
      <c r="F3">
        <f t="shared" si="1"/>
        <v>4.7852521294037671E-6</v>
      </c>
      <c r="G3">
        <v>456.1</v>
      </c>
      <c r="H3">
        <f t="shared" si="2"/>
        <v>2.1825534962210584</v>
      </c>
      <c r="I3">
        <v>437.7</v>
      </c>
      <c r="J3">
        <f t="shared" si="3"/>
        <v>2.0945048570400289</v>
      </c>
    </row>
    <row r="4" spans="1:12" x14ac:dyDescent="0.2">
      <c r="A4" t="s">
        <v>108</v>
      </c>
      <c r="B4">
        <v>8.0799999999999997E-2</v>
      </c>
      <c r="C4" s="4">
        <f>AVERAGE(0.2998, 0.2965, 0.3007)</f>
        <v>0.29899999999999999</v>
      </c>
      <c r="D4">
        <f t="shared" si="0"/>
        <v>2.1886799999999998E-2</v>
      </c>
      <c r="E4">
        <v>5002.8999999999996</v>
      </c>
      <c r="F4">
        <f t="shared" si="1"/>
        <v>4.3748226028903236E-6</v>
      </c>
      <c r="G4">
        <v>600</v>
      </c>
      <c r="H4">
        <f t="shared" si="2"/>
        <v>2.624893561734194</v>
      </c>
      <c r="I4">
        <v>454</v>
      </c>
      <c r="J4">
        <f t="shared" si="3"/>
        <v>1.986169461712207</v>
      </c>
    </row>
    <row r="5" spans="1:12" x14ac:dyDescent="0.2">
      <c r="A5" t="s">
        <v>109</v>
      </c>
      <c r="B5">
        <v>7.3200000000000001E-2</v>
      </c>
      <c r="C5" s="4">
        <v>0.28100000000000003</v>
      </c>
      <c r="D5">
        <f t="shared" si="0"/>
        <v>2.0091500000000002E-2</v>
      </c>
      <c r="E5">
        <v>4999.7</v>
      </c>
      <c r="F5">
        <f t="shared" si="1"/>
        <v>4.0185411124667488E-6</v>
      </c>
      <c r="G5">
        <v>601.5</v>
      </c>
      <c r="H5">
        <f t="shared" si="2"/>
        <v>2.4171524791487493</v>
      </c>
      <c r="I5">
        <v>605</v>
      </c>
      <c r="J5">
        <f t="shared" si="3"/>
        <v>2.4312173730423829</v>
      </c>
    </row>
    <row r="6" spans="1:12" x14ac:dyDescent="0.2">
      <c r="A6" t="s">
        <v>110</v>
      </c>
      <c r="B6">
        <v>7.1499999999999994E-2</v>
      </c>
      <c r="C6" s="4">
        <v>0.309</v>
      </c>
      <c r="D6">
        <f t="shared" si="0"/>
        <v>2.2556999999999997E-2</v>
      </c>
      <c r="E6">
        <v>5000.3</v>
      </c>
      <c r="F6">
        <f t="shared" si="1"/>
        <v>4.5111293322400652E-6</v>
      </c>
      <c r="G6">
        <v>602.29999999999995</v>
      </c>
      <c r="H6">
        <f t="shared" si="2"/>
        <v>2.717053196808191</v>
      </c>
      <c r="I6">
        <v>601.1</v>
      </c>
      <c r="J6">
        <f t="shared" si="3"/>
        <v>2.7116398416095033</v>
      </c>
    </row>
    <row r="7" spans="1:12" x14ac:dyDescent="0.2">
      <c r="A7" t="s">
        <v>111</v>
      </c>
      <c r="B7">
        <v>7.2999999999999995E-2</v>
      </c>
      <c r="C7" s="4">
        <v>0.27779999999999999</v>
      </c>
      <c r="D7">
        <f t="shared" si="0"/>
        <v>2.3501879999999999E-2</v>
      </c>
      <c r="E7">
        <v>5020.5</v>
      </c>
      <c r="F7">
        <f t="shared" si="1"/>
        <v>4.6811831490887359E-6</v>
      </c>
      <c r="G7">
        <v>346</v>
      </c>
      <c r="H7">
        <f>G7*F7*1000</f>
        <v>1.6196893695847026</v>
      </c>
      <c r="I7">
        <v>366</v>
      </c>
      <c r="J7">
        <f t="shared" si="3"/>
        <v>1.7133130325664774</v>
      </c>
    </row>
    <row r="8" spans="1:12" x14ac:dyDescent="0.2">
      <c r="A8" t="s">
        <v>112</v>
      </c>
      <c r="B8">
        <v>8.4599999999999995E-2</v>
      </c>
      <c r="C8" s="4">
        <v>0.30509999999999998</v>
      </c>
      <c r="D8">
        <f t="shared" si="0"/>
        <v>2.3370659999999998E-2</v>
      </c>
      <c r="E8">
        <v>5009.8</v>
      </c>
      <c r="F8">
        <f t="shared" si="1"/>
        <v>4.6649886223002908E-6</v>
      </c>
      <c r="G8">
        <v>394.1</v>
      </c>
      <c r="H8">
        <f>G8*F8*1000</f>
        <v>1.8384720160485448</v>
      </c>
      <c r="I8">
        <v>364.2</v>
      </c>
      <c r="J8">
        <f t="shared" si="3"/>
        <v>1.6989888562417659</v>
      </c>
    </row>
    <row r="9" spans="1:12" x14ac:dyDescent="0.2">
      <c r="A9" t="s">
        <v>113</v>
      </c>
      <c r="B9">
        <v>7.6600000000000001E-2</v>
      </c>
      <c r="C9" s="4">
        <v>0.29959999999999998</v>
      </c>
      <c r="D9">
        <f t="shared" si="0"/>
        <v>2.2529919999999998E-2</v>
      </c>
      <c r="E9">
        <v>5013.2</v>
      </c>
      <c r="F9">
        <f t="shared" si="1"/>
        <v>4.4941195244554377E-6</v>
      </c>
      <c r="G9">
        <v>306.7</v>
      </c>
      <c r="H9">
        <f t="shared" si="2"/>
        <v>1.3783464581504827</v>
      </c>
      <c r="I9">
        <v>303.60000000000002</v>
      </c>
      <c r="J9">
        <f t="shared" si="3"/>
        <v>1.364414687624671</v>
      </c>
    </row>
    <row r="10" spans="1:12" x14ac:dyDescent="0.2">
      <c r="A10" t="s">
        <v>114</v>
      </c>
      <c r="B10">
        <v>7.5200000000000003E-2</v>
      </c>
      <c r="C10" s="4">
        <v>0.30520000000000003</v>
      </c>
      <c r="D10">
        <f t="shared" si="0"/>
        <v>2.2432199999999999E-2</v>
      </c>
      <c r="E10">
        <v>5003.8</v>
      </c>
      <c r="F10">
        <f t="shared" si="1"/>
        <v>4.4830328949997998E-6</v>
      </c>
      <c r="G10">
        <v>330.5</v>
      </c>
      <c r="H10">
        <f t="shared" si="2"/>
        <v>1.4816423717974339</v>
      </c>
      <c r="I10">
        <v>313.89999999999998</v>
      </c>
      <c r="J10">
        <f t="shared" si="3"/>
        <v>1.4072240257404369</v>
      </c>
    </row>
    <row r="11" spans="1:12" x14ac:dyDescent="0.2">
      <c r="A11" t="s">
        <v>115</v>
      </c>
      <c r="B11">
        <v>7.3499999999999996E-2</v>
      </c>
      <c r="C11" s="4">
        <v>0.28120000000000001</v>
      </c>
      <c r="D11">
        <f t="shared" si="0"/>
        <v>2.5870400000000002E-2</v>
      </c>
      <c r="E11">
        <v>4995.8</v>
      </c>
      <c r="F11">
        <f>D11/E11</f>
        <v>5.1784298811001241E-6</v>
      </c>
      <c r="G11">
        <v>411</v>
      </c>
      <c r="H11">
        <f>G11*F11*1000</f>
        <v>2.1283346811321509</v>
      </c>
      <c r="I11">
        <v>407.9</v>
      </c>
      <c r="J11">
        <f t="shared" si="3"/>
        <v>2.1122815485007407</v>
      </c>
    </row>
    <row r="12" spans="1:12" x14ac:dyDescent="0.2">
      <c r="A12" t="s">
        <v>116</v>
      </c>
      <c r="B12">
        <v>9.1999999999999998E-2</v>
      </c>
      <c r="C12" s="4">
        <v>0.29220000000000002</v>
      </c>
      <c r="D12">
        <f t="shared" si="0"/>
        <v>2.3434440000000001E-2</v>
      </c>
      <c r="E12">
        <v>5001.3999999999996</v>
      </c>
      <c r="F12">
        <f t="shared" si="1"/>
        <v>4.6855760387091616E-6</v>
      </c>
      <c r="G12">
        <v>368.9</v>
      </c>
      <c r="H12">
        <f t="shared" si="2"/>
        <v>1.7285090006798096</v>
      </c>
      <c r="I12">
        <v>318.7</v>
      </c>
      <c r="J12">
        <f t="shared" si="3"/>
        <v>1.4932930835366098</v>
      </c>
    </row>
    <row r="13" spans="1:12" x14ac:dyDescent="0.2">
      <c r="A13" t="s">
        <v>117</v>
      </c>
      <c r="B13">
        <v>8.0199999999999994E-2</v>
      </c>
      <c r="C13" s="4">
        <v>0.2959</v>
      </c>
      <c r="D13">
        <f t="shared" si="0"/>
        <v>2.3908719999999998E-2</v>
      </c>
      <c r="E13">
        <v>4995.1000000000004</v>
      </c>
      <c r="F13">
        <f t="shared" si="1"/>
        <v>4.7864347060118906E-6</v>
      </c>
      <c r="G13">
        <v>601.4</v>
      </c>
      <c r="H13">
        <f>G13*F13*1000</f>
        <v>2.8785618321955506</v>
      </c>
      <c r="I13">
        <v>469.2</v>
      </c>
      <c r="J13">
        <f t="shared" si="3"/>
        <v>2.2457951640607789</v>
      </c>
    </row>
    <row r="14" spans="1:12" x14ac:dyDescent="0.2">
      <c r="A14" t="s">
        <v>118</v>
      </c>
      <c r="B14">
        <v>8.0799999999999997E-2</v>
      </c>
      <c r="K14">
        <v>455.4</v>
      </c>
      <c r="L14">
        <f>K14*F13*1000</f>
        <v>2.1797423651178152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995E-BE9A-41EC-AF23-4F027DDBD2C8}">
  <dimension ref="A1:D142"/>
  <sheetViews>
    <sheetView tabSelected="1" workbookViewId="0">
      <selection activeCell="G10" sqref="G10"/>
    </sheetView>
  </sheetViews>
  <sheetFormatPr defaultRowHeight="14.25" x14ac:dyDescent="0.2"/>
  <sheetData>
    <row r="1" spans="1:4" x14ac:dyDescent="0.2">
      <c r="A1" t="s">
        <v>261</v>
      </c>
      <c r="B1" t="s">
        <v>136</v>
      </c>
      <c r="C1" t="s">
        <v>137</v>
      </c>
      <c r="D1" t="s">
        <v>0</v>
      </c>
    </row>
    <row r="2" spans="1:4" x14ac:dyDescent="0.2">
      <c r="A2" t="s">
        <v>138</v>
      </c>
      <c r="B2">
        <v>1.3584000000000001</v>
      </c>
      <c r="C2">
        <v>110</v>
      </c>
      <c r="D2" t="s">
        <v>260</v>
      </c>
    </row>
    <row r="3" spans="1:4" x14ac:dyDescent="0.2">
      <c r="A3" t="s">
        <v>139</v>
      </c>
      <c r="B3">
        <v>1.3583000000000001</v>
      </c>
      <c r="C3">
        <v>112</v>
      </c>
      <c r="D3" t="s">
        <v>260</v>
      </c>
    </row>
    <row r="4" spans="1:4" x14ac:dyDescent="0.2">
      <c r="A4" t="s">
        <v>140</v>
      </c>
      <c r="B4">
        <v>1.2877000000000001</v>
      </c>
      <c r="C4">
        <v>100</v>
      </c>
      <c r="D4" t="s">
        <v>260</v>
      </c>
    </row>
    <row r="5" spans="1:4" x14ac:dyDescent="0.2">
      <c r="A5" t="s">
        <v>141</v>
      </c>
      <c r="B5">
        <v>1.1861999999999999</v>
      </c>
      <c r="C5">
        <v>95</v>
      </c>
      <c r="D5" t="s">
        <v>260</v>
      </c>
    </row>
    <row r="6" spans="1:4" x14ac:dyDescent="0.2">
      <c r="A6" t="s">
        <v>142</v>
      </c>
      <c r="B6">
        <v>1.2096</v>
      </c>
      <c r="C6">
        <v>93</v>
      </c>
      <c r="D6" t="s">
        <v>260</v>
      </c>
    </row>
    <row r="7" spans="1:4" x14ac:dyDescent="0.2">
      <c r="A7" t="s">
        <v>143</v>
      </c>
      <c r="B7">
        <v>1.3011999999999999</v>
      </c>
      <c r="C7">
        <v>107</v>
      </c>
      <c r="D7" t="s">
        <v>260</v>
      </c>
    </row>
    <row r="8" spans="1:4" x14ac:dyDescent="0.2">
      <c r="A8" t="s">
        <v>144</v>
      </c>
      <c r="B8">
        <v>1.3725000000000001</v>
      </c>
      <c r="C8">
        <v>111</v>
      </c>
      <c r="D8" t="s">
        <v>260</v>
      </c>
    </row>
    <row r="9" spans="1:4" x14ac:dyDescent="0.2">
      <c r="A9" t="s">
        <v>145</v>
      </c>
      <c r="B9">
        <v>1.2865</v>
      </c>
      <c r="C9">
        <v>102</v>
      </c>
      <c r="D9" t="s">
        <v>260</v>
      </c>
    </row>
    <row r="10" spans="1:4" x14ac:dyDescent="0.2">
      <c r="A10" t="s">
        <v>146</v>
      </c>
      <c r="B10">
        <v>1.2929999999999999</v>
      </c>
      <c r="C10">
        <v>99</v>
      </c>
      <c r="D10" t="s">
        <v>260</v>
      </c>
    </row>
    <row r="11" spans="1:4" x14ac:dyDescent="0.2">
      <c r="A11" t="s">
        <v>147</v>
      </c>
      <c r="B11">
        <v>1.2054</v>
      </c>
      <c r="C11">
        <v>96</v>
      </c>
      <c r="D11" t="s">
        <v>260</v>
      </c>
    </row>
    <row r="12" spans="1:4" x14ac:dyDescent="0.2">
      <c r="A12" t="s">
        <v>148</v>
      </c>
      <c r="B12">
        <v>1.2114</v>
      </c>
      <c r="C12">
        <v>97</v>
      </c>
      <c r="D12" t="s">
        <v>260</v>
      </c>
    </row>
    <row r="13" spans="1:4" x14ac:dyDescent="0.2">
      <c r="A13" t="s">
        <v>159</v>
      </c>
      <c r="B13">
        <v>1.3226</v>
      </c>
      <c r="C13">
        <v>102</v>
      </c>
      <c r="D13" t="s">
        <v>260</v>
      </c>
    </row>
    <row r="14" spans="1:4" x14ac:dyDescent="0.2">
      <c r="A14" t="s">
        <v>150</v>
      </c>
      <c r="B14">
        <v>1.3723000000000001</v>
      </c>
      <c r="C14">
        <v>108</v>
      </c>
      <c r="D14" t="s">
        <v>260</v>
      </c>
    </row>
    <row r="15" spans="1:4" x14ac:dyDescent="0.2">
      <c r="A15" t="s">
        <v>151</v>
      </c>
      <c r="B15">
        <v>1.3201000000000001</v>
      </c>
      <c r="C15">
        <v>100</v>
      </c>
      <c r="D15" t="s">
        <v>260</v>
      </c>
    </row>
    <row r="16" spans="1:4" x14ac:dyDescent="0.2">
      <c r="A16" t="s">
        <v>152</v>
      </c>
      <c r="B16">
        <v>1.3246</v>
      </c>
      <c r="C16">
        <v>101</v>
      </c>
      <c r="D16" t="s">
        <v>260</v>
      </c>
    </row>
    <row r="17" spans="1:4" x14ac:dyDescent="0.2">
      <c r="A17" t="s">
        <v>153</v>
      </c>
      <c r="B17">
        <v>1.2954000000000001</v>
      </c>
      <c r="C17">
        <v>105</v>
      </c>
      <c r="D17" t="s">
        <v>260</v>
      </c>
    </row>
    <row r="18" spans="1:4" x14ac:dyDescent="0.2">
      <c r="A18" t="s">
        <v>154</v>
      </c>
      <c r="B18">
        <v>1.2898000000000001</v>
      </c>
      <c r="C18">
        <v>100</v>
      </c>
      <c r="D18" t="s">
        <v>260</v>
      </c>
    </row>
    <row r="19" spans="1:4" x14ac:dyDescent="0.2">
      <c r="A19" t="s">
        <v>155</v>
      </c>
      <c r="B19">
        <v>1.2938000000000001</v>
      </c>
      <c r="C19">
        <v>100</v>
      </c>
      <c r="D19" t="s">
        <v>260</v>
      </c>
    </row>
    <row r="20" spans="1:4" x14ac:dyDescent="0.2">
      <c r="A20" t="s">
        <v>156</v>
      </c>
      <c r="B20">
        <v>1.3023</v>
      </c>
      <c r="C20">
        <v>102</v>
      </c>
      <c r="D20" t="s">
        <v>260</v>
      </c>
    </row>
    <row r="21" spans="1:4" x14ac:dyDescent="0.2">
      <c r="A21" t="s">
        <v>157</v>
      </c>
      <c r="B21">
        <v>1.278</v>
      </c>
      <c r="C21">
        <v>99</v>
      </c>
      <c r="D21" t="s">
        <v>260</v>
      </c>
    </row>
    <row r="22" spans="1:4" x14ac:dyDescent="0.2">
      <c r="A22" t="s">
        <v>149</v>
      </c>
      <c r="B22">
        <v>1.3463000000000001</v>
      </c>
      <c r="C22">
        <v>102</v>
      </c>
      <c r="D22" t="s">
        <v>260</v>
      </c>
    </row>
    <row r="23" spans="1:4" x14ac:dyDescent="0.2">
      <c r="A23" t="s">
        <v>158</v>
      </c>
      <c r="B23">
        <v>1.3231999999999999</v>
      </c>
      <c r="C23">
        <v>105</v>
      </c>
      <c r="D23" t="s">
        <v>260</v>
      </c>
    </row>
    <row r="24" spans="1:4" x14ac:dyDescent="0.2">
      <c r="A24" t="s">
        <v>278</v>
      </c>
      <c r="B24">
        <v>1.3011999999999999</v>
      </c>
      <c r="C24">
        <v>100</v>
      </c>
      <c r="D24" t="s">
        <v>260</v>
      </c>
    </row>
    <row r="25" spans="1:4" x14ac:dyDescent="0.2">
      <c r="A25" t="s">
        <v>279</v>
      </c>
      <c r="B25">
        <v>1.2509999999999999</v>
      </c>
      <c r="C25">
        <v>100</v>
      </c>
      <c r="D25" t="s">
        <v>260</v>
      </c>
    </row>
    <row r="26" spans="1:4" x14ac:dyDescent="0.2">
      <c r="A26" t="s">
        <v>160</v>
      </c>
      <c r="B26">
        <v>1.2858000000000001</v>
      </c>
      <c r="C26">
        <v>102</v>
      </c>
      <c r="D26" t="s">
        <v>120</v>
      </c>
    </row>
    <row r="27" spans="1:4" x14ac:dyDescent="0.2">
      <c r="A27" t="s">
        <v>161</v>
      </c>
      <c r="B27">
        <v>1.2932999999999999</v>
      </c>
      <c r="C27">
        <v>100</v>
      </c>
      <c r="D27" t="s">
        <v>120</v>
      </c>
    </row>
    <row r="28" spans="1:4" x14ac:dyDescent="0.2">
      <c r="A28" t="s">
        <v>162</v>
      </c>
      <c r="B28">
        <v>1.2867</v>
      </c>
      <c r="C28">
        <v>103</v>
      </c>
      <c r="D28" t="s">
        <v>120</v>
      </c>
    </row>
    <row r="29" spans="1:4" x14ac:dyDescent="0.2">
      <c r="A29" t="s">
        <v>163</v>
      </c>
      <c r="B29">
        <v>1.3077000000000001</v>
      </c>
      <c r="C29">
        <v>104</v>
      </c>
      <c r="D29" t="s">
        <v>120</v>
      </c>
    </row>
    <row r="30" spans="1:4" x14ac:dyDescent="0.2">
      <c r="A30" t="s">
        <v>164</v>
      </c>
      <c r="B30">
        <v>1.3010999999999999</v>
      </c>
      <c r="C30">
        <v>99</v>
      </c>
      <c r="D30" t="s">
        <v>120</v>
      </c>
    </row>
    <row r="31" spans="1:4" x14ac:dyDescent="0.2">
      <c r="A31" t="s">
        <v>165</v>
      </c>
      <c r="B31">
        <v>1.3111999999999999</v>
      </c>
      <c r="C31">
        <v>97</v>
      </c>
      <c r="D31" t="s">
        <v>120</v>
      </c>
    </row>
    <row r="32" spans="1:4" x14ac:dyDescent="0.2">
      <c r="A32" t="s">
        <v>166</v>
      </c>
      <c r="B32">
        <v>1.3281000000000001</v>
      </c>
      <c r="C32">
        <v>103</v>
      </c>
      <c r="D32" t="s">
        <v>120</v>
      </c>
    </row>
    <row r="33" spans="1:4" x14ac:dyDescent="0.2">
      <c r="A33" t="s">
        <v>167</v>
      </c>
      <c r="B33">
        <v>1.2889999999999999</v>
      </c>
      <c r="C33">
        <v>102</v>
      </c>
      <c r="D33" t="s">
        <v>120</v>
      </c>
    </row>
    <row r="34" spans="1:4" x14ac:dyDescent="0.2">
      <c r="A34" t="s">
        <v>168</v>
      </c>
      <c r="B34">
        <v>1.3298000000000001</v>
      </c>
      <c r="C34">
        <v>102</v>
      </c>
      <c r="D34" t="s">
        <v>120</v>
      </c>
    </row>
    <row r="35" spans="1:4" x14ac:dyDescent="0.2">
      <c r="A35" t="s">
        <v>169</v>
      </c>
      <c r="B35">
        <v>1.3084</v>
      </c>
      <c r="C35">
        <v>103</v>
      </c>
      <c r="D35" t="s">
        <v>120</v>
      </c>
    </row>
    <row r="36" spans="1:4" x14ac:dyDescent="0.2">
      <c r="A36" t="s">
        <v>170</v>
      </c>
      <c r="B36">
        <v>1.3277000000000001</v>
      </c>
      <c r="C36">
        <v>105</v>
      </c>
      <c r="D36" t="s">
        <v>120</v>
      </c>
    </row>
    <row r="37" spans="1:4" x14ac:dyDescent="0.2">
      <c r="A37" t="s">
        <v>171</v>
      </c>
      <c r="B37">
        <v>1.2884</v>
      </c>
      <c r="C37">
        <v>102</v>
      </c>
      <c r="D37" t="s">
        <v>120</v>
      </c>
    </row>
    <row r="38" spans="1:4" x14ac:dyDescent="0.2">
      <c r="A38" t="s">
        <v>172</v>
      </c>
      <c r="B38">
        <v>1.2052</v>
      </c>
      <c r="C38">
        <v>99</v>
      </c>
      <c r="D38" t="s">
        <v>120</v>
      </c>
    </row>
    <row r="39" spans="1:4" x14ac:dyDescent="0.2">
      <c r="A39" t="s">
        <v>173</v>
      </c>
      <c r="B39">
        <v>1.1863999999999999</v>
      </c>
      <c r="C39">
        <v>96</v>
      </c>
      <c r="D39" t="s">
        <v>120</v>
      </c>
    </row>
    <row r="40" spans="1:4" x14ac:dyDescent="0.2">
      <c r="A40" t="s">
        <v>174</v>
      </c>
      <c r="B40">
        <v>1.1822999999999999</v>
      </c>
      <c r="C40">
        <v>97</v>
      </c>
      <c r="D40" t="s">
        <v>120</v>
      </c>
    </row>
    <row r="41" spans="1:4" x14ac:dyDescent="0.2">
      <c r="A41" t="s">
        <v>175</v>
      </c>
      <c r="B41">
        <v>1.1432</v>
      </c>
      <c r="C41">
        <v>99</v>
      </c>
      <c r="D41" t="s">
        <v>120</v>
      </c>
    </row>
    <row r="42" spans="1:4" x14ac:dyDescent="0.2">
      <c r="A42" t="s">
        <v>176</v>
      </c>
      <c r="B42">
        <v>1.2291000000000001</v>
      </c>
      <c r="C42">
        <v>100</v>
      </c>
      <c r="D42" t="s">
        <v>120</v>
      </c>
    </row>
    <row r="43" spans="1:4" x14ac:dyDescent="0.2">
      <c r="A43" t="s">
        <v>177</v>
      </c>
      <c r="B43">
        <v>1.2290000000000001</v>
      </c>
      <c r="C43">
        <v>100</v>
      </c>
      <c r="D43" t="s">
        <v>120</v>
      </c>
    </row>
    <row r="44" spans="1:4" x14ac:dyDescent="0.2">
      <c r="A44" t="s">
        <v>178</v>
      </c>
      <c r="B44">
        <v>1.2447999999999999</v>
      </c>
      <c r="C44">
        <v>101</v>
      </c>
      <c r="D44" t="s">
        <v>120</v>
      </c>
    </row>
    <row r="45" spans="1:4" x14ac:dyDescent="0.2">
      <c r="A45" t="s">
        <v>179</v>
      </c>
      <c r="B45">
        <v>1.18</v>
      </c>
      <c r="C45">
        <v>96</v>
      </c>
      <c r="D45" t="s">
        <v>120</v>
      </c>
    </row>
    <row r="46" spans="1:4" x14ac:dyDescent="0.2">
      <c r="A46" t="s">
        <v>180</v>
      </c>
      <c r="B46">
        <v>1.3555999999999999</v>
      </c>
      <c r="C46">
        <v>115</v>
      </c>
      <c r="D46" t="s">
        <v>120</v>
      </c>
    </row>
    <row r="47" spans="1:4" x14ac:dyDescent="0.2">
      <c r="A47" t="s">
        <v>181</v>
      </c>
      <c r="B47">
        <v>1.2887</v>
      </c>
      <c r="C47">
        <v>105</v>
      </c>
      <c r="D47" t="s">
        <v>120</v>
      </c>
    </row>
    <row r="48" spans="1:4" x14ac:dyDescent="0.2">
      <c r="A48" t="s">
        <v>182</v>
      </c>
      <c r="B48">
        <v>1.3361000000000001</v>
      </c>
      <c r="C48">
        <v>110</v>
      </c>
      <c r="D48" t="s">
        <v>120</v>
      </c>
    </row>
    <row r="49" spans="1:4" x14ac:dyDescent="0.2">
      <c r="A49" t="s">
        <v>183</v>
      </c>
      <c r="B49">
        <v>1.3125</v>
      </c>
      <c r="C49">
        <v>103</v>
      </c>
      <c r="D49" t="s">
        <v>120</v>
      </c>
    </row>
    <row r="50" spans="1:4" x14ac:dyDescent="0.2">
      <c r="A50" t="s">
        <v>184</v>
      </c>
      <c r="B50">
        <v>1.304</v>
      </c>
      <c r="C50">
        <v>102</v>
      </c>
      <c r="D50" t="s">
        <v>260</v>
      </c>
    </row>
    <row r="51" spans="1:4" x14ac:dyDescent="0.2">
      <c r="A51" t="s">
        <v>185</v>
      </c>
      <c r="B51">
        <v>1.3202</v>
      </c>
      <c r="C51">
        <v>103</v>
      </c>
      <c r="D51" t="s">
        <v>260</v>
      </c>
    </row>
    <row r="52" spans="1:4" x14ac:dyDescent="0.2">
      <c r="A52" t="s">
        <v>186</v>
      </c>
      <c r="B52">
        <v>1.2896000000000001</v>
      </c>
      <c r="C52">
        <v>101</v>
      </c>
      <c r="D52" t="s">
        <v>260</v>
      </c>
    </row>
    <row r="53" spans="1:4" x14ac:dyDescent="0.2">
      <c r="A53" t="s">
        <v>187</v>
      </c>
      <c r="B53">
        <v>1.2699</v>
      </c>
      <c r="C53">
        <v>100</v>
      </c>
      <c r="D53" t="s">
        <v>260</v>
      </c>
    </row>
    <row r="54" spans="1:4" x14ac:dyDescent="0.2">
      <c r="A54" t="s">
        <v>188</v>
      </c>
      <c r="B54">
        <v>1.2629999999999999</v>
      </c>
      <c r="C54">
        <v>96</v>
      </c>
      <c r="D54" t="s">
        <v>260</v>
      </c>
    </row>
    <row r="55" spans="1:4" x14ac:dyDescent="0.2">
      <c r="A55" t="s">
        <v>189</v>
      </c>
      <c r="B55">
        <v>1.2912999999999999</v>
      </c>
      <c r="C55">
        <v>97</v>
      </c>
      <c r="D55" t="s">
        <v>260</v>
      </c>
    </row>
    <row r="56" spans="1:4" x14ac:dyDescent="0.2">
      <c r="A56" t="s">
        <v>190</v>
      </c>
      <c r="B56">
        <v>1.3045</v>
      </c>
      <c r="C56">
        <v>98</v>
      </c>
      <c r="D56" t="s">
        <v>260</v>
      </c>
    </row>
    <row r="57" spans="1:4" x14ac:dyDescent="0.2">
      <c r="A57" t="s">
        <v>191</v>
      </c>
      <c r="B57">
        <v>1.3089999999999999</v>
      </c>
      <c r="C57">
        <v>100</v>
      </c>
      <c r="D57" t="s">
        <v>260</v>
      </c>
    </row>
    <row r="58" spans="1:4" x14ac:dyDescent="0.2">
      <c r="A58" t="s">
        <v>192</v>
      </c>
      <c r="B58">
        <v>1.2857000000000001</v>
      </c>
      <c r="C58">
        <v>99</v>
      </c>
      <c r="D58" t="s">
        <v>260</v>
      </c>
    </row>
    <row r="59" spans="1:4" x14ac:dyDescent="0.2">
      <c r="A59" t="s">
        <v>193</v>
      </c>
      <c r="B59">
        <v>1.3008</v>
      </c>
      <c r="C59">
        <v>100</v>
      </c>
      <c r="D59" t="s">
        <v>260</v>
      </c>
    </row>
    <row r="60" spans="1:4" x14ac:dyDescent="0.2">
      <c r="A60" t="s">
        <v>194</v>
      </c>
      <c r="B60">
        <v>1.3404</v>
      </c>
      <c r="C60">
        <v>106</v>
      </c>
      <c r="D60" t="s">
        <v>260</v>
      </c>
    </row>
    <row r="61" spans="1:4" x14ac:dyDescent="0.2">
      <c r="A61" t="s">
        <v>195</v>
      </c>
      <c r="B61">
        <v>1.3371</v>
      </c>
      <c r="C61">
        <v>105</v>
      </c>
      <c r="D61" t="s">
        <v>260</v>
      </c>
    </row>
    <row r="62" spans="1:4" x14ac:dyDescent="0.2">
      <c r="A62" t="s">
        <v>196</v>
      </c>
      <c r="B62">
        <v>1.2682</v>
      </c>
      <c r="C62">
        <v>94</v>
      </c>
      <c r="D62" t="s">
        <v>260</v>
      </c>
    </row>
    <row r="63" spans="1:4" x14ac:dyDescent="0.2">
      <c r="A63" t="s">
        <v>197</v>
      </c>
      <c r="B63">
        <v>1.2811999999999999</v>
      </c>
      <c r="C63">
        <v>96</v>
      </c>
      <c r="D63" t="s">
        <v>260</v>
      </c>
    </row>
    <row r="64" spans="1:4" x14ac:dyDescent="0.2">
      <c r="A64" t="s">
        <v>198</v>
      </c>
      <c r="B64">
        <v>1.2998000000000001</v>
      </c>
      <c r="C64">
        <v>112</v>
      </c>
      <c r="D64" t="s">
        <v>260</v>
      </c>
    </row>
    <row r="65" spans="1:4" x14ac:dyDescent="0.2">
      <c r="A65" t="s">
        <v>199</v>
      </c>
      <c r="B65">
        <v>1.3324</v>
      </c>
      <c r="C65">
        <v>103</v>
      </c>
      <c r="D65" t="s">
        <v>260</v>
      </c>
    </row>
    <row r="66" spans="1:4" x14ac:dyDescent="0.2">
      <c r="A66" t="s">
        <v>200</v>
      </c>
      <c r="B66">
        <v>1.2758</v>
      </c>
      <c r="C66">
        <v>96</v>
      </c>
      <c r="D66" t="s">
        <v>260</v>
      </c>
    </row>
    <row r="67" spans="1:4" x14ac:dyDescent="0.2">
      <c r="A67" t="s">
        <v>201</v>
      </c>
      <c r="B67">
        <v>1.2968</v>
      </c>
      <c r="C67">
        <v>95</v>
      </c>
      <c r="D67" t="s">
        <v>260</v>
      </c>
    </row>
    <row r="68" spans="1:4" x14ac:dyDescent="0.2">
      <c r="A68" t="s">
        <v>202</v>
      </c>
      <c r="B68">
        <v>1.2810999999999999</v>
      </c>
      <c r="C68">
        <v>96</v>
      </c>
      <c r="D68" t="s">
        <v>260</v>
      </c>
    </row>
    <row r="69" spans="1:4" x14ac:dyDescent="0.2">
      <c r="A69" t="s">
        <v>203</v>
      </c>
      <c r="B69">
        <v>1.2988999999999999</v>
      </c>
      <c r="C69">
        <v>100</v>
      </c>
      <c r="D69" t="s">
        <v>260</v>
      </c>
    </row>
    <row r="70" spans="1:4" x14ac:dyDescent="0.2">
      <c r="A70" t="s">
        <v>204</v>
      </c>
      <c r="B70">
        <v>1.3123</v>
      </c>
      <c r="C70">
        <v>101</v>
      </c>
      <c r="D70" t="s">
        <v>260</v>
      </c>
    </row>
    <row r="71" spans="1:4" x14ac:dyDescent="0.2">
      <c r="A71" t="s">
        <v>205</v>
      </c>
      <c r="B71">
        <v>1.2485999999999999</v>
      </c>
      <c r="C71">
        <v>100</v>
      </c>
      <c r="D71" t="s">
        <v>260</v>
      </c>
    </row>
    <row r="72" spans="1:4" x14ac:dyDescent="0.2">
      <c r="A72" t="s">
        <v>206</v>
      </c>
      <c r="B72">
        <v>1.2828999999999999</v>
      </c>
      <c r="C72">
        <v>102</v>
      </c>
      <c r="D72" t="s">
        <v>260</v>
      </c>
    </row>
    <row r="73" spans="1:4" x14ac:dyDescent="0.2">
      <c r="A73" t="s">
        <v>207</v>
      </c>
      <c r="B73">
        <v>1.3096000000000001</v>
      </c>
      <c r="C73">
        <v>100</v>
      </c>
      <c r="D73" t="s">
        <v>260</v>
      </c>
    </row>
    <row r="74" spans="1:4" x14ac:dyDescent="0.2">
      <c r="A74" t="s">
        <v>208</v>
      </c>
      <c r="B74">
        <v>1.3205</v>
      </c>
      <c r="C74">
        <v>99</v>
      </c>
      <c r="D74" t="s">
        <v>260</v>
      </c>
    </row>
    <row r="75" spans="1:4" x14ac:dyDescent="0.2">
      <c r="A75" t="s">
        <v>208</v>
      </c>
      <c r="B75">
        <v>1.2686999999999999</v>
      </c>
      <c r="C75">
        <v>97</v>
      </c>
      <c r="D75" t="s">
        <v>260</v>
      </c>
    </row>
    <row r="76" spans="1:4" x14ac:dyDescent="0.2">
      <c r="A76" t="s">
        <v>209</v>
      </c>
      <c r="B76">
        <v>1.2887999999999999</v>
      </c>
      <c r="C76">
        <v>101</v>
      </c>
      <c r="D76" t="s">
        <v>260</v>
      </c>
    </row>
    <row r="77" spans="1:4" x14ac:dyDescent="0.2">
      <c r="A77" t="s">
        <v>210</v>
      </c>
      <c r="B77">
        <v>1.2706</v>
      </c>
      <c r="C77">
        <v>96</v>
      </c>
      <c r="D77" t="s">
        <v>260</v>
      </c>
    </row>
    <row r="78" spans="1:4" x14ac:dyDescent="0.2">
      <c r="A78" t="s">
        <v>211</v>
      </c>
      <c r="B78">
        <v>1.276</v>
      </c>
      <c r="C78">
        <v>102</v>
      </c>
      <c r="D78" t="s">
        <v>260</v>
      </c>
    </row>
    <row r="79" spans="1:4" x14ac:dyDescent="0.2">
      <c r="A79" t="s">
        <v>212</v>
      </c>
      <c r="B79">
        <v>1.3143</v>
      </c>
      <c r="C79">
        <v>103</v>
      </c>
      <c r="D79" t="s">
        <v>260</v>
      </c>
    </row>
    <row r="80" spans="1:4" x14ac:dyDescent="0.2">
      <c r="A80" t="s">
        <v>213</v>
      </c>
      <c r="B80">
        <v>1.321</v>
      </c>
      <c r="C80">
        <v>102</v>
      </c>
      <c r="D80" t="s">
        <v>260</v>
      </c>
    </row>
    <row r="81" spans="1:4" x14ac:dyDescent="0.2">
      <c r="A81" t="s">
        <v>214</v>
      </c>
      <c r="B81">
        <v>1.3151999999999999</v>
      </c>
      <c r="C81">
        <v>103</v>
      </c>
      <c r="D81" t="s">
        <v>260</v>
      </c>
    </row>
    <row r="82" spans="1:4" x14ac:dyDescent="0.2">
      <c r="A82" t="s">
        <v>215</v>
      </c>
      <c r="B82">
        <v>1.3354999999999999</v>
      </c>
      <c r="C82">
        <v>101</v>
      </c>
      <c r="D82" t="s">
        <v>260</v>
      </c>
    </row>
    <row r="83" spans="1:4" x14ac:dyDescent="0.2">
      <c r="A83" t="s">
        <v>216</v>
      </c>
      <c r="B83">
        <v>1.3008999999999999</v>
      </c>
      <c r="C83">
        <v>100</v>
      </c>
      <c r="D83" t="s">
        <v>260</v>
      </c>
    </row>
    <row r="84" spans="1:4" x14ac:dyDescent="0.2">
      <c r="A84" t="s">
        <v>217</v>
      </c>
      <c r="B84">
        <v>1.2985</v>
      </c>
      <c r="C84">
        <v>98</v>
      </c>
      <c r="D84" t="s">
        <v>260</v>
      </c>
    </row>
    <row r="85" spans="1:4" x14ac:dyDescent="0.2">
      <c r="A85" t="s">
        <v>218</v>
      </c>
      <c r="B85">
        <v>1.3077000000000001</v>
      </c>
      <c r="C85">
        <v>103</v>
      </c>
      <c r="D85" t="s">
        <v>260</v>
      </c>
    </row>
    <row r="86" spans="1:4" x14ac:dyDescent="0.2">
      <c r="A86" t="s">
        <v>219</v>
      </c>
      <c r="B86">
        <v>1.3286</v>
      </c>
      <c r="C86">
        <v>106</v>
      </c>
      <c r="D86" t="s">
        <v>260</v>
      </c>
    </row>
    <row r="87" spans="1:4" x14ac:dyDescent="0.2">
      <c r="A87" t="s">
        <v>220</v>
      </c>
      <c r="B87">
        <v>1.3338000000000001</v>
      </c>
      <c r="C87">
        <v>98</v>
      </c>
      <c r="D87" t="s">
        <v>260</v>
      </c>
    </row>
    <row r="88" spans="1:4" x14ac:dyDescent="0.2">
      <c r="A88" t="s">
        <v>221</v>
      </c>
      <c r="B88">
        <v>1.3315999999999999</v>
      </c>
      <c r="C88">
        <v>96</v>
      </c>
      <c r="D88" t="s">
        <v>260</v>
      </c>
    </row>
    <row r="89" spans="1:4" x14ac:dyDescent="0.2">
      <c r="A89" t="s">
        <v>222</v>
      </c>
      <c r="B89">
        <v>1.3112999999999999</v>
      </c>
      <c r="C89">
        <v>95</v>
      </c>
      <c r="D89" t="s">
        <v>260</v>
      </c>
    </row>
    <row r="90" spans="1:4" x14ac:dyDescent="0.2">
      <c r="A90" t="s">
        <v>223</v>
      </c>
      <c r="B90">
        <v>1.2163999999999999</v>
      </c>
      <c r="C90">
        <v>86</v>
      </c>
      <c r="D90" t="s">
        <v>260</v>
      </c>
    </row>
    <row r="91" spans="1:4" x14ac:dyDescent="0.2">
      <c r="A91" t="s">
        <v>224</v>
      </c>
      <c r="B91">
        <v>1.3202</v>
      </c>
      <c r="C91">
        <v>99</v>
      </c>
      <c r="D91" t="s">
        <v>260</v>
      </c>
    </row>
    <row r="92" spans="1:4" x14ac:dyDescent="0.2">
      <c r="A92" t="s">
        <v>225</v>
      </c>
      <c r="B92">
        <v>1.3306</v>
      </c>
      <c r="C92">
        <v>101</v>
      </c>
      <c r="D92" t="s">
        <v>260</v>
      </c>
    </row>
    <row r="93" spans="1:4" x14ac:dyDescent="0.2">
      <c r="A93" t="s">
        <v>226</v>
      </c>
      <c r="B93">
        <v>1.2978000000000001</v>
      </c>
      <c r="C93">
        <v>98</v>
      </c>
      <c r="D93" t="s">
        <v>260</v>
      </c>
    </row>
    <row r="94" spans="1:4" x14ac:dyDescent="0.2">
      <c r="A94" t="s">
        <v>227</v>
      </c>
      <c r="B94">
        <v>1.2899</v>
      </c>
      <c r="C94">
        <v>99</v>
      </c>
      <c r="D94" t="s">
        <v>260</v>
      </c>
    </row>
    <row r="95" spans="1:4" x14ac:dyDescent="0.2">
      <c r="A95" t="s">
        <v>228</v>
      </c>
      <c r="B95">
        <v>1.3339000000000001</v>
      </c>
      <c r="C95">
        <v>111</v>
      </c>
      <c r="D95" t="s">
        <v>120</v>
      </c>
    </row>
    <row r="96" spans="1:4" x14ac:dyDescent="0.2">
      <c r="A96" t="s">
        <v>229</v>
      </c>
      <c r="B96">
        <v>1.2874000000000001</v>
      </c>
      <c r="C96">
        <v>108</v>
      </c>
      <c r="D96" t="s">
        <v>120</v>
      </c>
    </row>
    <row r="97" spans="1:4" x14ac:dyDescent="0.2">
      <c r="A97" t="s">
        <v>230</v>
      </c>
      <c r="B97">
        <v>1.2788999999999999</v>
      </c>
      <c r="C97">
        <v>109</v>
      </c>
      <c r="D97" t="s">
        <v>120</v>
      </c>
    </row>
    <row r="98" spans="1:4" x14ac:dyDescent="0.2">
      <c r="A98" t="s">
        <v>231</v>
      </c>
      <c r="B98">
        <v>1.3149999999999999</v>
      </c>
      <c r="C98">
        <v>111</v>
      </c>
      <c r="D98" t="s">
        <v>120</v>
      </c>
    </row>
    <row r="99" spans="1:4" x14ac:dyDescent="0.2">
      <c r="A99" t="s">
        <v>232</v>
      </c>
      <c r="B99">
        <v>1.2589999999999999</v>
      </c>
      <c r="C99">
        <v>100</v>
      </c>
      <c r="D99" t="s">
        <v>120</v>
      </c>
    </row>
    <row r="100" spans="1:4" x14ac:dyDescent="0.2">
      <c r="A100" t="s">
        <v>233</v>
      </c>
      <c r="B100">
        <v>1.2499</v>
      </c>
      <c r="C100">
        <v>103</v>
      </c>
      <c r="D100" t="s">
        <v>120</v>
      </c>
    </row>
    <row r="101" spans="1:4" x14ac:dyDescent="0.2">
      <c r="A101" t="s">
        <v>234</v>
      </c>
      <c r="B101">
        <v>1.2117</v>
      </c>
      <c r="C101">
        <v>100</v>
      </c>
      <c r="D101" t="s">
        <v>120</v>
      </c>
    </row>
    <row r="102" spans="1:4" x14ac:dyDescent="0.2">
      <c r="A102" t="s">
        <v>235</v>
      </c>
      <c r="B102">
        <v>1.1841999999999999</v>
      </c>
      <c r="C102">
        <v>96</v>
      </c>
      <c r="D102" t="s">
        <v>120</v>
      </c>
    </row>
    <row r="103" spans="1:4" x14ac:dyDescent="0.2">
      <c r="A103" t="s">
        <v>236</v>
      </c>
      <c r="B103">
        <v>1.3375999999999999</v>
      </c>
      <c r="C103">
        <v>106</v>
      </c>
      <c r="D103" t="s">
        <v>120</v>
      </c>
    </row>
    <row r="104" spans="1:4" x14ac:dyDescent="0.2">
      <c r="A104" t="s">
        <v>237</v>
      </c>
      <c r="B104">
        <v>1.3159000000000001</v>
      </c>
      <c r="C104">
        <v>103</v>
      </c>
      <c r="D104" t="s">
        <v>120</v>
      </c>
    </row>
    <row r="105" spans="1:4" x14ac:dyDescent="0.2">
      <c r="A105" t="s">
        <v>238</v>
      </c>
      <c r="B105">
        <v>1.2694000000000001</v>
      </c>
      <c r="C105">
        <v>100</v>
      </c>
      <c r="D105" t="s">
        <v>120</v>
      </c>
    </row>
    <row r="106" spans="1:4" x14ac:dyDescent="0.2">
      <c r="A106" t="s">
        <v>239</v>
      </c>
      <c r="B106">
        <v>1.2805</v>
      </c>
      <c r="C106">
        <v>102</v>
      </c>
      <c r="D106" t="s">
        <v>120</v>
      </c>
    </row>
    <row r="107" spans="1:4" x14ac:dyDescent="0.2">
      <c r="A107" t="s">
        <v>119</v>
      </c>
      <c r="B107">
        <v>1.2831999999999999</v>
      </c>
      <c r="C107">
        <v>107</v>
      </c>
      <c r="D107" t="s">
        <v>120</v>
      </c>
    </row>
    <row r="108" spans="1:4" x14ac:dyDescent="0.2">
      <c r="A108" t="s">
        <v>122</v>
      </c>
      <c r="B108">
        <v>1.2753000000000001</v>
      </c>
      <c r="C108">
        <v>98</v>
      </c>
      <c r="D108" t="s">
        <v>120</v>
      </c>
    </row>
    <row r="109" spans="1:4" x14ac:dyDescent="0.2">
      <c r="A109" t="s">
        <v>124</v>
      </c>
      <c r="B109">
        <v>1.2806999999999999</v>
      </c>
      <c r="C109">
        <v>96</v>
      </c>
      <c r="D109" t="s">
        <v>120</v>
      </c>
    </row>
    <row r="110" spans="1:4" x14ac:dyDescent="0.2">
      <c r="A110" t="s">
        <v>126</v>
      </c>
      <c r="B110">
        <v>1.2949999999999999</v>
      </c>
      <c r="C110">
        <v>104</v>
      </c>
      <c r="D110" t="s">
        <v>120</v>
      </c>
    </row>
    <row r="111" spans="1:4" x14ac:dyDescent="0.2">
      <c r="A111" t="s">
        <v>128</v>
      </c>
      <c r="B111">
        <v>1.2548999999999999</v>
      </c>
      <c r="C111">
        <v>105</v>
      </c>
      <c r="D111" t="s">
        <v>120</v>
      </c>
    </row>
    <row r="112" spans="1:4" x14ac:dyDescent="0.2">
      <c r="A112" t="s">
        <v>134</v>
      </c>
      <c r="B112">
        <v>1.3405</v>
      </c>
      <c r="C112">
        <v>104</v>
      </c>
      <c r="D112" t="s">
        <v>120</v>
      </c>
    </row>
    <row r="113" spans="1:4" x14ac:dyDescent="0.2">
      <c r="A113" t="s">
        <v>130</v>
      </c>
      <c r="B113">
        <v>1.2533000000000001</v>
      </c>
      <c r="C113">
        <v>101</v>
      </c>
      <c r="D113" t="s">
        <v>120</v>
      </c>
    </row>
    <row r="114" spans="1:4" x14ac:dyDescent="0.2">
      <c r="A114" t="s">
        <v>132</v>
      </c>
      <c r="B114">
        <v>1.2943</v>
      </c>
      <c r="C114">
        <v>109</v>
      </c>
      <c r="D114" t="s">
        <v>120</v>
      </c>
    </row>
    <row r="115" spans="1:4" x14ac:dyDescent="0.2">
      <c r="A115" t="s">
        <v>240</v>
      </c>
      <c r="B115">
        <v>1.2799</v>
      </c>
      <c r="C115">
        <v>96</v>
      </c>
      <c r="D115" t="s">
        <v>120</v>
      </c>
    </row>
    <row r="116" spans="1:4" x14ac:dyDescent="0.2">
      <c r="A116" t="s">
        <v>241</v>
      </c>
      <c r="B116">
        <v>1.3286</v>
      </c>
      <c r="C116">
        <v>100</v>
      </c>
      <c r="D116" t="s">
        <v>120</v>
      </c>
    </row>
    <row r="117" spans="1:4" x14ac:dyDescent="0.2">
      <c r="A117" t="s">
        <v>242</v>
      </c>
      <c r="B117">
        <v>1.2745</v>
      </c>
      <c r="C117">
        <v>95</v>
      </c>
      <c r="D117" t="s">
        <v>120</v>
      </c>
    </row>
    <row r="118" spans="1:4" x14ac:dyDescent="0.2">
      <c r="A118" t="s">
        <v>243</v>
      </c>
      <c r="B118">
        <v>1.2447999999999999</v>
      </c>
      <c r="C118">
        <v>92</v>
      </c>
      <c r="D118" t="s">
        <v>120</v>
      </c>
    </row>
    <row r="119" spans="1:4" x14ac:dyDescent="0.2">
      <c r="A119" t="s">
        <v>244</v>
      </c>
      <c r="B119">
        <v>1.3090999999999999</v>
      </c>
      <c r="C119">
        <v>112</v>
      </c>
      <c r="D119" t="s">
        <v>120</v>
      </c>
    </row>
    <row r="120" spans="1:4" x14ac:dyDescent="0.2">
      <c r="A120" t="s">
        <v>245</v>
      </c>
      <c r="B120">
        <v>1.2234</v>
      </c>
      <c r="C120">
        <v>108</v>
      </c>
      <c r="D120" t="s">
        <v>120</v>
      </c>
    </row>
    <row r="121" spans="1:4" x14ac:dyDescent="0.2">
      <c r="A121" t="s">
        <v>246</v>
      </c>
      <c r="B121">
        <v>1.2858000000000001</v>
      </c>
      <c r="C121">
        <v>106</v>
      </c>
      <c r="D121" t="s">
        <v>120</v>
      </c>
    </row>
    <row r="122" spans="1:4" x14ac:dyDescent="0.2">
      <c r="A122" t="s">
        <v>247</v>
      </c>
      <c r="B122">
        <v>1.3006</v>
      </c>
      <c r="C122">
        <v>102</v>
      </c>
      <c r="D122" t="s">
        <v>120</v>
      </c>
    </row>
    <row r="123" spans="1:4" x14ac:dyDescent="0.2">
      <c r="A123" t="s">
        <v>248</v>
      </c>
      <c r="B123">
        <v>1.2366999999999999</v>
      </c>
      <c r="C123">
        <v>100</v>
      </c>
      <c r="D123" t="s">
        <v>120</v>
      </c>
    </row>
    <row r="124" spans="1:4" x14ac:dyDescent="0.2">
      <c r="A124" t="s">
        <v>249</v>
      </c>
      <c r="B124">
        <v>1.0398000000000001</v>
      </c>
      <c r="C124">
        <v>90</v>
      </c>
      <c r="D124" t="s">
        <v>120</v>
      </c>
    </row>
    <row r="125" spans="1:4" x14ac:dyDescent="0.2">
      <c r="A125" t="s">
        <v>250</v>
      </c>
      <c r="B125">
        <v>1.2014</v>
      </c>
      <c r="C125">
        <v>100</v>
      </c>
      <c r="D125" t="s">
        <v>120</v>
      </c>
    </row>
    <row r="126" spans="1:4" x14ac:dyDescent="0.2">
      <c r="A126" t="s">
        <v>251</v>
      </c>
      <c r="B126">
        <v>1.1873</v>
      </c>
      <c r="C126">
        <v>95</v>
      </c>
      <c r="D126" t="s">
        <v>120</v>
      </c>
    </row>
    <row r="127" spans="1:4" x14ac:dyDescent="0.2">
      <c r="A127" t="s">
        <v>252</v>
      </c>
      <c r="B127">
        <v>1.2943</v>
      </c>
      <c r="C127">
        <v>100</v>
      </c>
      <c r="D127" t="s">
        <v>120</v>
      </c>
    </row>
    <row r="128" spans="1:4" x14ac:dyDescent="0.2">
      <c r="A128" t="s">
        <v>253</v>
      </c>
      <c r="B128">
        <v>1.3085</v>
      </c>
      <c r="C128">
        <v>102</v>
      </c>
      <c r="D128" t="s">
        <v>120</v>
      </c>
    </row>
    <row r="129" spans="1:4" x14ac:dyDescent="0.2">
      <c r="A129" t="s">
        <v>254</v>
      </c>
      <c r="B129">
        <v>1.3004</v>
      </c>
      <c r="C129">
        <v>96</v>
      </c>
      <c r="D129" t="s">
        <v>120</v>
      </c>
    </row>
    <row r="130" spans="1:4" x14ac:dyDescent="0.2">
      <c r="A130" t="s">
        <v>255</v>
      </c>
      <c r="B130">
        <v>1.3075000000000001</v>
      </c>
      <c r="C130">
        <v>95</v>
      </c>
      <c r="D130" t="s">
        <v>120</v>
      </c>
    </row>
    <row r="131" spans="1:4" x14ac:dyDescent="0.2">
      <c r="A131" t="s">
        <v>127</v>
      </c>
      <c r="B131">
        <v>1.3373999999999999</v>
      </c>
      <c r="C131">
        <v>100</v>
      </c>
      <c r="D131" t="s">
        <v>120</v>
      </c>
    </row>
    <row r="132" spans="1:4" x14ac:dyDescent="0.2">
      <c r="A132" t="s">
        <v>123</v>
      </c>
      <c r="B132">
        <v>1.2732000000000001</v>
      </c>
      <c r="C132">
        <v>93</v>
      </c>
      <c r="D132" t="s">
        <v>120</v>
      </c>
    </row>
    <row r="133" spans="1:4" x14ac:dyDescent="0.2">
      <c r="A133" t="s">
        <v>121</v>
      </c>
      <c r="B133">
        <v>1.2887</v>
      </c>
      <c r="C133">
        <v>96</v>
      </c>
      <c r="D133" t="s">
        <v>120</v>
      </c>
    </row>
    <row r="134" spans="1:4" x14ac:dyDescent="0.2">
      <c r="A134" t="s">
        <v>125</v>
      </c>
      <c r="B134">
        <v>1.3568</v>
      </c>
      <c r="C134">
        <v>111</v>
      </c>
      <c r="D134" t="s">
        <v>120</v>
      </c>
    </row>
    <row r="135" spans="1:4" x14ac:dyDescent="0.2">
      <c r="A135" t="s">
        <v>133</v>
      </c>
      <c r="B135">
        <v>1.3272999999999999</v>
      </c>
      <c r="C135">
        <v>106</v>
      </c>
      <c r="D135" t="s">
        <v>120</v>
      </c>
    </row>
    <row r="136" spans="1:4" x14ac:dyDescent="0.2">
      <c r="A136" t="s">
        <v>135</v>
      </c>
      <c r="B136">
        <v>1.319</v>
      </c>
      <c r="C136">
        <v>100</v>
      </c>
      <c r="D136" t="s">
        <v>120</v>
      </c>
    </row>
    <row r="137" spans="1:4" x14ac:dyDescent="0.2">
      <c r="A137" t="s">
        <v>129</v>
      </c>
      <c r="B137">
        <v>1.2907999999999999</v>
      </c>
      <c r="C137">
        <v>97</v>
      </c>
      <c r="D137" t="s">
        <v>120</v>
      </c>
    </row>
    <row r="138" spans="1:4" x14ac:dyDescent="0.2">
      <c r="A138" t="s">
        <v>131</v>
      </c>
      <c r="B138">
        <v>1.2888999999999999</v>
      </c>
      <c r="C138">
        <v>95</v>
      </c>
      <c r="D138" t="s">
        <v>120</v>
      </c>
    </row>
    <row r="139" spans="1:4" x14ac:dyDescent="0.2">
      <c r="A139" t="s">
        <v>256</v>
      </c>
      <c r="B139">
        <v>1.3150999999999999</v>
      </c>
      <c r="C139">
        <v>98</v>
      </c>
      <c r="D139" t="s">
        <v>120</v>
      </c>
    </row>
    <row r="140" spans="1:4" x14ac:dyDescent="0.2">
      <c r="A140" t="s">
        <v>257</v>
      </c>
      <c r="B140">
        <v>1.3447</v>
      </c>
      <c r="C140">
        <v>97</v>
      </c>
      <c r="D140" t="s">
        <v>120</v>
      </c>
    </row>
    <row r="141" spans="1:4" x14ac:dyDescent="0.2">
      <c r="A141" t="s">
        <v>258</v>
      </c>
      <c r="B141">
        <v>1.2789999999999999</v>
      </c>
      <c r="C141">
        <v>94</v>
      </c>
      <c r="D141" t="s">
        <v>120</v>
      </c>
    </row>
    <row r="142" spans="1:4" x14ac:dyDescent="0.2">
      <c r="A142" t="s">
        <v>259</v>
      </c>
      <c r="B142">
        <v>1.2906</v>
      </c>
      <c r="C142">
        <v>102</v>
      </c>
      <c r="D142" t="s">
        <v>120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A6D3-DEF0-475A-9BE9-AEAF10678F33}">
  <dimension ref="A1:H18"/>
  <sheetViews>
    <sheetView workbookViewId="0">
      <selection activeCell="H18" sqref="H18"/>
    </sheetView>
  </sheetViews>
  <sheetFormatPr defaultRowHeight="14.25" x14ac:dyDescent="0.2"/>
  <cols>
    <col min="2" max="2" width="11.5" customWidth="1"/>
  </cols>
  <sheetData>
    <row r="1" spans="1:8" x14ac:dyDescent="0.2">
      <c r="A1" t="s">
        <v>1</v>
      </c>
      <c r="B1" t="s">
        <v>273</v>
      </c>
      <c r="C1" t="s">
        <v>277</v>
      </c>
      <c r="D1" t="s">
        <v>275</v>
      </c>
      <c r="E1" t="s">
        <v>4</v>
      </c>
      <c r="F1" t="s">
        <v>276</v>
      </c>
      <c r="G1" t="s">
        <v>16</v>
      </c>
      <c r="H1" t="s">
        <v>274</v>
      </c>
    </row>
    <row r="2" spans="1:8" x14ac:dyDescent="0.2">
      <c r="A2" t="s">
        <v>6</v>
      </c>
      <c r="B2" t="s">
        <v>271</v>
      </c>
      <c r="C2" t="s">
        <v>107</v>
      </c>
      <c r="D2">
        <v>500</v>
      </c>
      <c r="E2">
        <v>28</v>
      </c>
      <c r="F2">
        <v>2.9670000000000001</v>
      </c>
      <c r="G2" s="16">
        <f t="shared" ref="G2:G13" si="0">F2/1000</f>
        <v>2.967E-3</v>
      </c>
      <c r="H2">
        <v>445</v>
      </c>
    </row>
    <row r="3" spans="1:8" x14ac:dyDescent="0.2">
      <c r="A3" t="s">
        <v>6</v>
      </c>
      <c r="B3" t="s">
        <v>272</v>
      </c>
      <c r="C3" t="s">
        <v>110</v>
      </c>
      <c r="D3">
        <v>600</v>
      </c>
      <c r="E3">
        <v>29</v>
      </c>
      <c r="F3">
        <v>2.97</v>
      </c>
      <c r="G3" s="16">
        <f t="shared" si="0"/>
        <v>2.97E-3</v>
      </c>
      <c r="H3">
        <v>554</v>
      </c>
    </row>
    <row r="4" spans="1:8" x14ac:dyDescent="0.2">
      <c r="A4" t="s">
        <v>8</v>
      </c>
      <c r="B4" t="s">
        <v>271</v>
      </c>
      <c r="C4" t="s">
        <v>108</v>
      </c>
      <c r="D4">
        <v>510</v>
      </c>
      <c r="E4">
        <v>28</v>
      </c>
      <c r="F4">
        <v>3.08</v>
      </c>
      <c r="G4" s="16">
        <f t="shared" si="0"/>
        <v>3.0800000000000003E-3</v>
      </c>
      <c r="H4">
        <v>464</v>
      </c>
    </row>
    <row r="5" spans="1:8" x14ac:dyDescent="0.2">
      <c r="A5" t="s">
        <v>8</v>
      </c>
      <c r="B5" t="s">
        <v>272</v>
      </c>
      <c r="C5" t="s">
        <v>111</v>
      </c>
      <c r="D5">
        <v>620</v>
      </c>
      <c r="E5">
        <v>30</v>
      </c>
      <c r="F5">
        <v>2.7669999999999999</v>
      </c>
      <c r="G5" s="16">
        <f t="shared" si="0"/>
        <v>2.7669999999999999E-3</v>
      </c>
      <c r="H5">
        <v>561</v>
      </c>
    </row>
    <row r="6" spans="1:8" x14ac:dyDescent="0.2">
      <c r="A6" t="s">
        <v>9</v>
      </c>
      <c r="B6" t="s">
        <v>271</v>
      </c>
      <c r="C6" t="s">
        <v>109</v>
      </c>
      <c r="D6">
        <v>500</v>
      </c>
      <c r="E6">
        <v>28</v>
      </c>
      <c r="F6">
        <v>3.0670000000000002</v>
      </c>
      <c r="G6" s="16">
        <f t="shared" si="0"/>
        <v>3.0670000000000003E-3</v>
      </c>
      <c r="H6">
        <v>453</v>
      </c>
    </row>
    <row r="7" spans="1:8" x14ac:dyDescent="0.2">
      <c r="A7" t="s">
        <v>9</v>
      </c>
      <c r="B7" t="s">
        <v>272</v>
      </c>
      <c r="C7" t="s">
        <v>112</v>
      </c>
      <c r="D7">
        <v>600</v>
      </c>
      <c r="E7">
        <v>29</v>
      </c>
      <c r="F7">
        <v>2.9940000000000002</v>
      </c>
      <c r="G7" s="16">
        <f t="shared" si="0"/>
        <v>2.9940000000000001E-3</v>
      </c>
      <c r="H7">
        <v>554</v>
      </c>
    </row>
    <row r="8" spans="1:8" x14ac:dyDescent="0.2">
      <c r="A8" t="s">
        <v>10</v>
      </c>
      <c r="B8" t="s">
        <v>271</v>
      </c>
      <c r="C8" t="s">
        <v>113</v>
      </c>
      <c r="D8">
        <v>600</v>
      </c>
      <c r="E8">
        <v>28</v>
      </c>
      <c r="F8">
        <v>3.0939999999999999</v>
      </c>
      <c r="G8" s="16">
        <f t="shared" si="0"/>
        <v>3.094E-3</v>
      </c>
      <c r="H8">
        <v>564</v>
      </c>
    </row>
    <row r="9" spans="1:8" x14ac:dyDescent="0.2">
      <c r="A9" t="s">
        <v>10</v>
      </c>
      <c r="B9" t="s">
        <v>272</v>
      </c>
      <c r="C9" t="s">
        <v>116</v>
      </c>
      <c r="D9">
        <v>670</v>
      </c>
      <c r="E9">
        <v>30</v>
      </c>
      <c r="F9">
        <v>2.8719999999999999</v>
      </c>
      <c r="G9" s="16">
        <f t="shared" si="0"/>
        <v>2.872E-3</v>
      </c>
      <c r="H9">
        <v>628</v>
      </c>
    </row>
    <row r="10" spans="1:8" x14ac:dyDescent="0.2">
      <c r="A10" t="s">
        <v>11</v>
      </c>
      <c r="B10" t="s">
        <v>271</v>
      </c>
      <c r="C10" t="s">
        <v>114</v>
      </c>
      <c r="D10">
        <v>610</v>
      </c>
      <c r="E10">
        <v>30</v>
      </c>
      <c r="F10">
        <v>3.0750000000000002</v>
      </c>
      <c r="G10" s="16">
        <f t="shared" si="0"/>
        <v>3.075E-3</v>
      </c>
      <c r="H10">
        <v>569</v>
      </c>
    </row>
    <row r="11" spans="1:8" x14ac:dyDescent="0.2">
      <c r="A11" t="s">
        <v>11</v>
      </c>
      <c r="B11" t="s">
        <v>272</v>
      </c>
      <c r="C11" t="s">
        <v>117</v>
      </c>
      <c r="D11">
        <v>690</v>
      </c>
      <c r="E11">
        <v>31</v>
      </c>
      <c r="F11">
        <v>2.706</v>
      </c>
      <c r="G11" s="16">
        <f t="shared" si="0"/>
        <v>2.7060000000000001E-3</v>
      </c>
      <c r="H11">
        <v>647</v>
      </c>
    </row>
    <row r="12" spans="1:8" x14ac:dyDescent="0.2">
      <c r="A12" t="s">
        <v>12</v>
      </c>
      <c r="B12" t="s">
        <v>271</v>
      </c>
      <c r="C12" t="s">
        <v>115</v>
      </c>
      <c r="D12">
        <v>630</v>
      </c>
      <c r="E12">
        <v>30</v>
      </c>
      <c r="F12">
        <v>3.1429999999999998</v>
      </c>
      <c r="G12" s="16">
        <f t="shared" si="0"/>
        <v>3.143E-3</v>
      </c>
      <c r="H12">
        <v>599</v>
      </c>
    </row>
    <row r="13" spans="1:8" x14ac:dyDescent="0.2">
      <c r="A13" t="s">
        <v>12</v>
      </c>
      <c r="B13" t="s">
        <v>272</v>
      </c>
      <c r="C13" t="s">
        <v>118</v>
      </c>
      <c r="D13">
        <v>685</v>
      </c>
      <c r="E13">
        <v>30</v>
      </c>
      <c r="F13">
        <v>2.8050000000000002</v>
      </c>
      <c r="G13" s="16">
        <f t="shared" si="0"/>
        <v>2.8050000000000002E-3</v>
      </c>
      <c r="H13">
        <v>645</v>
      </c>
    </row>
    <row r="15" spans="1:8" x14ac:dyDescent="0.2">
      <c r="A15" s="14"/>
    </row>
    <row r="16" spans="1:8" x14ac:dyDescent="0.2">
      <c r="A16" s="14"/>
    </row>
    <row r="17" spans="1:1" x14ac:dyDescent="0.2">
      <c r="A17" s="14"/>
    </row>
    <row r="18" spans="1:1" x14ac:dyDescent="0.2">
      <c r="A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Pulping</vt:lpstr>
      <vt:lpstr>Fines_removal</vt:lpstr>
      <vt:lpstr>Handsheets_making</vt:lpstr>
      <vt:lpstr>FQA</vt:lpstr>
      <vt:lpstr>Handsheet_properties</vt:lpstr>
      <vt:lpstr>Freeness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Yefrid Andres Cordoba Ortiz</dc:creator>
  <cp:keywords/>
  <dc:description/>
  <cp:lastModifiedBy>Yefrid Andres Cordoba Ortiz</cp:lastModifiedBy>
  <cp:revision/>
  <dcterms:created xsi:type="dcterms:W3CDTF">2026-07-19T17:08:37Z</dcterms:created>
  <dcterms:modified xsi:type="dcterms:W3CDTF">2026-09-17T15:17:13Z</dcterms:modified>
  <cp:category/>
  <cp:contentStatus/>
</cp:coreProperties>
</file>